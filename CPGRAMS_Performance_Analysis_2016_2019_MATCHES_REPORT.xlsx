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Statistical_Analysis" sheetId="2" state="visible" r:id="rId2"/>
    <sheet xmlns:r="http://schemas.openxmlformats.org/officeDocument/2006/relationships" name="Statistical_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4953000" cy="3714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</row>
      <rowOff>0</rowOff>
    </from>
    <ext cx="4953000" cy="3714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2" customWidth="1" min="4" max="4"/>
    <col width="26" customWidth="1" min="5" max="5"/>
    <col width="32" customWidth="1" min="6" max="6"/>
    <col width="31" customWidth="1" min="7" max="7"/>
    <col width="28" customWidth="1" min="8" max="8"/>
  </cols>
  <sheetData>
    <row r="1">
      <c r="A1" s="1" t="inlineStr">
        <is>
          <t>Ministry/Department/State</t>
        </is>
      </c>
      <c r="B1" s="1" t="inlineStr">
        <is>
          <t>Total Receipts (01.01.2016 to 01.11.2019)</t>
        </is>
      </c>
      <c r="C1" s="1" t="inlineStr">
        <is>
          <t>Total Disposal (01.01.2016 to 01.11.2019)</t>
        </is>
      </c>
      <c r="D1" s="1" t="inlineStr">
        <is>
          <t>Total Pending as on 01.11.2019</t>
        </is>
      </c>
      <c r="E1" s="1" t="inlineStr">
        <is>
          <t>Pending More Than 1 Year</t>
        </is>
      </c>
      <c r="F1" s="1" t="inlineStr">
        <is>
          <t>Pending Between 6 To 12 Months</t>
        </is>
      </c>
      <c r="G1" s="1" t="inlineStr">
        <is>
          <t>Pending Between 2 To 6 Months</t>
        </is>
      </c>
      <c r="H1" s="1" t="inlineStr">
        <is>
          <t>Pending Less Than 2 Months</t>
        </is>
      </c>
    </row>
    <row r="2">
      <c r="A2" t="inlineStr">
        <is>
          <t>Administrative Reforms and PG</t>
        </is>
      </c>
      <c r="B2" t="n">
        <v>1540</v>
      </c>
      <c r="C2" t="n">
        <v>1497</v>
      </c>
      <c r="D2" t="n">
        <v>43</v>
      </c>
      <c r="E2" t="n">
        <v>0</v>
      </c>
      <c r="F2" t="n">
        <v>0</v>
      </c>
      <c r="G2" t="n">
        <v>1</v>
      </c>
      <c r="H2" t="n">
        <v>42</v>
      </c>
    </row>
    <row r="3">
      <c r="A3" t="inlineStr">
        <is>
          <t>Agriculture and Cooperation</t>
        </is>
      </c>
      <c r="B3" t="n">
        <v>21317</v>
      </c>
      <c r="C3" t="n">
        <v>20557</v>
      </c>
      <c r="D3" t="n">
        <v>760</v>
      </c>
      <c r="E3" t="n">
        <v>7</v>
      </c>
      <c r="F3" t="n">
        <v>21</v>
      </c>
      <c r="G3" t="n">
        <v>141</v>
      </c>
      <c r="H3" t="n">
        <v>591</v>
      </c>
    </row>
    <row r="4">
      <c r="A4" t="inlineStr">
        <is>
          <t>Agriculture Research and Education</t>
        </is>
      </c>
      <c r="B4" t="n">
        <v>6535</v>
      </c>
      <c r="C4" t="n">
        <v>6245</v>
      </c>
      <c r="D4" t="n">
        <v>290</v>
      </c>
      <c r="E4" t="n">
        <v>0</v>
      </c>
      <c r="F4" t="n">
        <v>31</v>
      </c>
      <c r="G4" t="n">
        <v>65</v>
      </c>
      <c r="H4" t="n">
        <v>194</v>
      </c>
    </row>
    <row r="5">
      <c r="A5" t="inlineStr">
        <is>
          <t>Animal Husbandry, Dairying</t>
        </is>
      </c>
      <c r="B5" t="n">
        <v>4835</v>
      </c>
      <c r="C5" t="n">
        <v>4702</v>
      </c>
      <c r="D5" t="n">
        <v>133</v>
      </c>
      <c r="E5" t="n">
        <v>12</v>
      </c>
      <c r="F5" t="n">
        <v>16</v>
      </c>
      <c r="G5" t="n">
        <v>28</v>
      </c>
      <c r="H5" t="n">
        <v>77</v>
      </c>
    </row>
    <row r="6">
      <c r="A6" t="inlineStr">
        <is>
          <t>Atomic Energy</t>
        </is>
      </c>
      <c r="B6" t="n">
        <v>5838</v>
      </c>
      <c r="C6" t="n">
        <v>5279</v>
      </c>
      <c r="D6" t="n">
        <v>559</v>
      </c>
      <c r="E6" t="n">
        <v>346</v>
      </c>
      <c r="F6" t="n">
        <v>73</v>
      </c>
      <c r="G6" t="n">
        <v>59</v>
      </c>
      <c r="H6" t="n">
        <v>81</v>
      </c>
    </row>
    <row r="7">
      <c r="A7" t="inlineStr">
        <is>
          <t>Ayush</t>
        </is>
      </c>
      <c r="B7" t="n">
        <v>9221</v>
      </c>
      <c r="C7" t="n">
        <v>9003</v>
      </c>
      <c r="D7" t="n">
        <v>218</v>
      </c>
      <c r="E7" t="n">
        <v>0</v>
      </c>
      <c r="F7" t="n">
        <v>9</v>
      </c>
      <c r="G7" t="n">
        <v>76</v>
      </c>
      <c r="H7" t="n">
        <v>133</v>
      </c>
    </row>
    <row r="8">
      <c r="A8" t="inlineStr">
        <is>
          <t>Bio Technology</t>
        </is>
      </c>
      <c r="B8" t="n">
        <v>959</v>
      </c>
      <c r="C8" t="n">
        <v>906</v>
      </c>
      <c r="D8" t="n">
        <v>53</v>
      </c>
      <c r="E8" t="n">
        <v>19</v>
      </c>
      <c r="F8" t="n">
        <v>11</v>
      </c>
      <c r="G8" t="n">
        <v>10</v>
      </c>
      <c r="H8" t="n">
        <v>13</v>
      </c>
    </row>
    <row r="9">
      <c r="A9" t="inlineStr">
        <is>
          <t>Central Board of Direct Taxes (Income Tax)</t>
        </is>
      </c>
      <c r="B9" t="n">
        <v>140684</v>
      </c>
      <c r="C9" t="n">
        <v>138030</v>
      </c>
      <c r="D9" t="n">
        <v>2654</v>
      </c>
      <c r="E9" t="n">
        <v>0</v>
      </c>
      <c r="F9" t="n">
        <v>25</v>
      </c>
      <c r="G9" t="n">
        <v>623</v>
      </c>
      <c r="H9" t="n">
        <v>2006</v>
      </c>
    </row>
    <row r="10">
      <c r="A10" t="inlineStr">
        <is>
          <t>Central Board of Excise and Customs</t>
        </is>
      </c>
      <c r="B10" t="n">
        <v>64611</v>
      </c>
      <c r="C10" t="n">
        <v>63682</v>
      </c>
      <c r="D10" t="n">
        <v>929</v>
      </c>
      <c r="E10" t="n">
        <v>1</v>
      </c>
      <c r="F10" t="n">
        <v>4</v>
      </c>
      <c r="G10" t="n">
        <v>66</v>
      </c>
      <c r="H10" t="n">
        <v>858</v>
      </c>
    </row>
    <row r="11">
      <c r="A11" t="inlineStr">
        <is>
          <t>Chemicals and Petrochemicals</t>
        </is>
      </c>
      <c r="B11" t="n">
        <v>2100</v>
      </c>
      <c r="C11" t="n">
        <v>2083</v>
      </c>
      <c r="D11" t="n">
        <v>17</v>
      </c>
      <c r="E11" t="n">
        <v>0</v>
      </c>
      <c r="F11" t="n">
        <v>1</v>
      </c>
      <c r="G11" t="n">
        <v>1</v>
      </c>
      <c r="H11" t="n">
        <v>15</v>
      </c>
    </row>
    <row r="12">
      <c r="A12" t="inlineStr">
        <is>
          <t>Civil Aviation</t>
        </is>
      </c>
      <c r="B12" t="n">
        <v>22937</v>
      </c>
      <c r="C12" t="n">
        <v>22419</v>
      </c>
      <c r="D12" t="n">
        <v>518</v>
      </c>
      <c r="E12" t="n">
        <v>6</v>
      </c>
      <c r="F12" t="n">
        <v>38</v>
      </c>
      <c r="G12" t="n">
        <v>175</v>
      </c>
      <c r="H12" t="n">
        <v>299</v>
      </c>
    </row>
    <row r="13">
      <c r="A13" t="inlineStr">
        <is>
          <t>Coal</t>
        </is>
      </c>
      <c r="B13" t="n">
        <v>18391</v>
      </c>
      <c r="C13" t="n">
        <v>17597</v>
      </c>
      <c r="D13" t="n">
        <v>794</v>
      </c>
      <c r="E13" t="n">
        <v>139</v>
      </c>
      <c r="F13" t="n">
        <v>133</v>
      </c>
      <c r="G13" t="n">
        <v>171</v>
      </c>
      <c r="H13" t="n">
        <v>351</v>
      </c>
    </row>
    <row r="14">
      <c r="A14" t="inlineStr">
        <is>
          <t>Commerce</t>
        </is>
      </c>
      <c r="B14" t="n">
        <v>15401</v>
      </c>
      <c r="C14" t="n">
        <v>15121</v>
      </c>
      <c r="D14" t="n">
        <v>280</v>
      </c>
      <c r="E14" t="n">
        <v>5</v>
      </c>
      <c r="F14" t="n">
        <v>3</v>
      </c>
      <c r="G14" t="n">
        <v>36</v>
      </c>
      <c r="H14" t="n">
        <v>236</v>
      </c>
    </row>
    <row r="15">
      <c r="A15" t="inlineStr">
        <is>
          <t>Consumer Affairs</t>
        </is>
      </c>
      <c r="B15" t="n">
        <v>31680</v>
      </c>
      <c r="C15" t="n">
        <v>30930</v>
      </c>
      <c r="D15" t="n">
        <v>750</v>
      </c>
      <c r="E15" t="n">
        <v>1</v>
      </c>
      <c r="F15" t="n">
        <v>0</v>
      </c>
      <c r="G15" t="n">
        <v>9</v>
      </c>
      <c r="H15" t="n">
        <v>740</v>
      </c>
    </row>
    <row r="16">
      <c r="A16" t="inlineStr">
        <is>
          <t>Corporate Affairs</t>
        </is>
      </c>
      <c r="B16" t="n">
        <v>31700</v>
      </c>
      <c r="C16" t="n">
        <v>30973</v>
      </c>
      <c r="D16" t="n">
        <v>727</v>
      </c>
      <c r="E16" t="n">
        <v>57</v>
      </c>
      <c r="F16" t="n">
        <v>85</v>
      </c>
      <c r="G16" t="n">
        <v>211</v>
      </c>
      <c r="H16" t="n">
        <v>374</v>
      </c>
    </row>
    <row r="17">
      <c r="A17" t="inlineStr">
        <is>
          <t>Culture</t>
        </is>
      </c>
      <c r="B17" t="n">
        <v>7814</v>
      </c>
      <c r="C17" t="n">
        <v>7318</v>
      </c>
      <c r="D17" t="n">
        <v>496</v>
      </c>
      <c r="E17" t="n">
        <v>41</v>
      </c>
      <c r="F17" t="n">
        <v>105</v>
      </c>
      <c r="G17" t="n">
        <v>146</v>
      </c>
      <c r="H17" t="n">
        <v>204</v>
      </c>
    </row>
    <row r="18">
      <c r="A18" t="inlineStr">
        <is>
          <t>Defence</t>
        </is>
      </c>
      <c r="B18" t="n">
        <v>57343</v>
      </c>
      <c r="C18" t="n">
        <v>54485</v>
      </c>
      <c r="D18" t="n">
        <v>2858</v>
      </c>
      <c r="E18" t="n">
        <v>113</v>
      </c>
      <c r="F18" t="n">
        <v>453</v>
      </c>
      <c r="G18" t="n">
        <v>947</v>
      </c>
      <c r="H18" t="n">
        <v>1345</v>
      </c>
    </row>
    <row r="19">
      <c r="A19" t="inlineStr">
        <is>
          <t>Defence Finance</t>
        </is>
      </c>
      <c r="B19" t="n">
        <v>28350</v>
      </c>
      <c r="C19" t="n">
        <v>27040</v>
      </c>
      <c r="D19" t="n">
        <v>1310</v>
      </c>
      <c r="E19" t="n">
        <v>0</v>
      </c>
      <c r="F19" t="n">
        <v>12</v>
      </c>
      <c r="G19" t="n">
        <v>188</v>
      </c>
      <c r="H19" t="n">
        <v>1110</v>
      </c>
    </row>
    <row r="20">
      <c r="A20" t="inlineStr">
        <is>
          <t>Defence Production</t>
        </is>
      </c>
      <c r="B20" t="n">
        <v>9261</v>
      </c>
      <c r="C20" t="n">
        <v>9179</v>
      </c>
      <c r="D20" t="n">
        <v>82</v>
      </c>
      <c r="E20" t="n">
        <v>0</v>
      </c>
      <c r="F20" t="n">
        <v>0</v>
      </c>
      <c r="G20" t="n">
        <v>1</v>
      </c>
      <c r="H20" t="n">
        <v>81</v>
      </c>
    </row>
    <row r="21">
      <c r="A21" t="inlineStr">
        <is>
          <t>Defence Research and Development</t>
        </is>
      </c>
      <c r="B21" t="n">
        <v>3102</v>
      </c>
      <c r="C21" t="n">
        <v>3088</v>
      </c>
      <c r="D21" t="n">
        <v>14</v>
      </c>
      <c r="E21" t="n">
        <v>0</v>
      </c>
      <c r="F21" t="n">
        <v>0</v>
      </c>
      <c r="G21" t="n">
        <v>0</v>
      </c>
      <c r="H21" t="n">
        <v>14</v>
      </c>
    </row>
    <row r="22">
      <c r="A22" t="inlineStr">
        <is>
          <t>Development of North Eastern Region</t>
        </is>
      </c>
      <c r="B22" t="n">
        <v>1055</v>
      </c>
      <c r="C22" t="n">
        <v>1037</v>
      </c>
      <c r="D22" t="n">
        <v>18</v>
      </c>
      <c r="E22" t="n">
        <v>1</v>
      </c>
      <c r="F22" t="n">
        <v>4</v>
      </c>
      <c r="G22" t="n">
        <v>5</v>
      </c>
      <c r="H22" t="n">
        <v>8</v>
      </c>
    </row>
    <row r="23">
      <c r="A23" t="inlineStr">
        <is>
          <t>Drinking Water and Sanitation</t>
        </is>
      </c>
      <c r="B23" t="n">
        <v>9499</v>
      </c>
      <c r="C23" t="n">
        <v>8958</v>
      </c>
      <c r="D23" t="n">
        <v>541</v>
      </c>
      <c r="E23" t="n">
        <v>36</v>
      </c>
      <c r="F23" t="n">
        <v>195</v>
      </c>
      <c r="G23" t="n">
        <v>93</v>
      </c>
      <c r="H23" t="n">
        <v>217</v>
      </c>
    </row>
    <row r="24">
      <c r="A24" t="inlineStr">
        <is>
          <t>Earth Sciences</t>
        </is>
      </c>
      <c r="B24" t="n">
        <v>1904</v>
      </c>
      <c r="C24" t="n">
        <v>1884</v>
      </c>
      <c r="D24" t="n">
        <v>20</v>
      </c>
      <c r="E24" t="n">
        <v>0</v>
      </c>
      <c r="F24" t="n">
        <v>0</v>
      </c>
      <c r="G24" t="n">
        <v>5</v>
      </c>
      <c r="H24" t="n">
        <v>15</v>
      </c>
    </row>
    <row r="25">
      <c r="A25" t="inlineStr">
        <is>
          <t>Economic Affairs</t>
        </is>
      </c>
      <c r="B25" t="n">
        <v>16812</v>
      </c>
      <c r="C25" t="n">
        <v>16653</v>
      </c>
      <c r="D25" t="n">
        <v>159</v>
      </c>
      <c r="E25" t="n">
        <v>6</v>
      </c>
      <c r="F25" t="n">
        <v>4</v>
      </c>
      <c r="G25" t="n">
        <v>46</v>
      </c>
      <c r="H25" t="n">
        <v>103</v>
      </c>
    </row>
    <row r="26">
      <c r="A26" t="inlineStr">
        <is>
          <t>Electronics &amp; Information Technology</t>
        </is>
      </c>
      <c r="B26" t="n">
        <v>24094</v>
      </c>
      <c r="C26" t="n">
        <v>23549</v>
      </c>
      <c r="D26" t="n">
        <v>545</v>
      </c>
      <c r="E26" t="n">
        <v>6</v>
      </c>
      <c r="F26" t="n">
        <v>6</v>
      </c>
      <c r="G26" t="n">
        <v>64</v>
      </c>
      <c r="H26" t="n">
        <v>469</v>
      </c>
    </row>
    <row r="27">
      <c r="A27" t="inlineStr">
        <is>
          <t>Empowerment of Persons with Disabilities</t>
        </is>
      </c>
      <c r="B27" t="n">
        <v>9384</v>
      </c>
      <c r="C27" t="n">
        <v>9284</v>
      </c>
      <c r="D27" t="n">
        <v>100</v>
      </c>
      <c r="E27" t="n">
        <v>0</v>
      </c>
      <c r="F27" t="n">
        <v>0</v>
      </c>
      <c r="G27" t="n">
        <v>1</v>
      </c>
      <c r="H27" t="n">
        <v>99</v>
      </c>
    </row>
    <row r="28">
      <c r="A28" t="inlineStr">
        <is>
          <t>Environment, Forest and Climate Change</t>
        </is>
      </c>
      <c r="B28" t="n">
        <v>23927</v>
      </c>
      <c r="C28" t="n">
        <v>23541</v>
      </c>
      <c r="D28" t="n">
        <v>386</v>
      </c>
      <c r="E28" t="n">
        <v>4</v>
      </c>
      <c r="F28" t="n">
        <v>23</v>
      </c>
      <c r="G28" t="n">
        <v>90</v>
      </c>
      <c r="H28" t="n">
        <v>269</v>
      </c>
    </row>
    <row r="29">
      <c r="A29" t="inlineStr">
        <is>
          <t>Ex Servicemen Welfare</t>
        </is>
      </c>
      <c r="B29" t="n">
        <v>24320</v>
      </c>
      <c r="C29" t="n">
        <v>24033</v>
      </c>
      <c r="D29" t="n">
        <v>287</v>
      </c>
      <c r="E29" t="n">
        <v>0</v>
      </c>
      <c r="F29" t="n">
        <v>0</v>
      </c>
      <c r="G29" t="n">
        <v>3</v>
      </c>
      <c r="H29" t="n">
        <v>284</v>
      </c>
    </row>
    <row r="30">
      <c r="A30" t="inlineStr">
        <is>
          <t>Expenditure</t>
        </is>
      </c>
      <c r="B30" t="n">
        <v>12958</v>
      </c>
      <c r="C30" t="n">
        <v>12910</v>
      </c>
      <c r="D30" t="n">
        <v>48</v>
      </c>
      <c r="E30" t="n">
        <v>0</v>
      </c>
      <c r="F30" t="n">
        <v>0</v>
      </c>
      <c r="G30" t="n">
        <v>1</v>
      </c>
      <c r="H30" t="n">
        <v>47</v>
      </c>
    </row>
    <row r="31">
      <c r="A31" t="inlineStr">
        <is>
          <t>External Affairs</t>
        </is>
      </c>
      <c r="B31" t="n">
        <v>45391</v>
      </c>
      <c r="C31" t="n">
        <v>44849</v>
      </c>
      <c r="D31" t="n">
        <v>542</v>
      </c>
      <c r="E31" t="n">
        <v>0</v>
      </c>
      <c r="F31" t="n">
        <v>0</v>
      </c>
      <c r="G31" t="n">
        <v>5</v>
      </c>
      <c r="H31" t="n">
        <v>537</v>
      </c>
    </row>
    <row r="32">
      <c r="A32" t="inlineStr">
        <is>
          <t>Fertilizers</t>
        </is>
      </c>
      <c r="B32" t="n">
        <v>1883</v>
      </c>
      <c r="C32" t="n">
        <v>1848</v>
      </c>
      <c r="D32" t="n">
        <v>35</v>
      </c>
      <c r="E32" t="n">
        <v>0</v>
      </c>
      <c r="F32" t="n">
        <v>0</v>
      </c>
      <c r="G32" t="n">
        <v>12</v>
      </c>
      <c r="H32" t="n">
        <v>23</v>
      </c>
    </row>
    <row r="33">
      <c r="A33" t="inlineStr">
        <is>
          <t>Financial Services (Banking Division)</t>
        </is>
      </c>
      <c r="B33" t="n">
        <v>391784</v>
      </c>
      <c r="C33" t="n">
        <v>383904</v>
      </c>
      <c r="D33" t="n">
        <v>7880</v>
      </c>
      <c r="E33" t="n">
        <v>79</v>
      </c>
      <c r="F33" t="n">
        <v>103</v>
      </c>
      <c r="G33" t="n">
        <v>749</v>
      </c>
      <c r="H33" t="n">
        <v>6949</v>
      </c>
    </row>
    <row r="34">
      <c r="A34" t="inlineStr">
        <is>
          <t>Financial Services (Insurance Division)</t>
        </is>
      </c>
      <c r="B34" t="n">
        <v>43724</v>
      </c>
      <c r="C34" t="n">
        <v>42733</v>
      </c>
      <c r="D34" t="n">
        <v>991</v>
      </c>
      <c r="E34" t="n">
        <v>10</v>
      </c>
      <c r="F34" t="n">
        <v>1</v>
      </c>
      <c r="G34" t="n">
        <v>58</v>
      </c>
      <c r="H34" t="n">
        <v>922</v>
      </c>
    </row>
    <row r="35">
      <c r="A35" t="inlineStr">
        <is>
          <t>Financial Services (Pension Reforms)</t>
        </is>
      </c>
      <c r="B35" t="n">
        <v>2302</v>
      </c>
      <c r="C35" t="n">
        <v>2257</v>
      </c>
      <c r="D35" t="n">
        <v>45</v>
      </c>
      <c r="E35" t="n">
        <v>0</v>
      </c>
      <c r="F35" t="n">
        <v>0</v>
      </c>
      <c r="G35" t="n">
        <v>3</v>
      </c>
      <c r="H35" t="n">
        <v>42</v>
      </c>
    </row>
    <row r="36">
      <c r="A36" t="inlineStr">
        <is>
          <t>Fisheries</t>
        </is>
      </c>
      <c r="B36" t="n">
        <v>77</v>
      </c>
      <c r="C36" t="n">
        <v>71</v>
      </c>
      <c r="D36" t="n">
        <v>6</v>
      </c>
      <c r="E36" t="n">
        <v>0</v>
      </c>
      <c r="F36" t="n">
        <v>0</v>
      </c>
      <c r="G36" t="n">
        <v>0</v>
      </c>
      <c r="H36" t="n">
        <v>6</v>
      </c>
    </row>
    <row r="37">
      <c r="A37" t="inlineStr">
        <is>
          <t>Food and Public Distribution</t>
        </is>
      </c>
      <c r="B37" t="n">
        <v>14439</v>
      </c>
      <c r="C37" t="n">
        <v>14269</v>
      </c>
      <c r="D37" t="n">
        <v>170</v>
      </c>
      <c r="E37" t="n">
        <v>0</v>
      </c>
      <c r="F37" t="n">
        <v>0</v>
      </c>
      <c r="G37" t="n">
        <v>4</v>
      </c>
      <c r="H37" t="n">
        <v>166</v>
      </c>
    </row>
    <row r="38">
      <c r="A38" t="inlineStr">
        <is>
          <t>Food Processing Industries</t>
        </is>
      </c>
      <c r="B38" t="n">
        <v>1928</v>
      </c>
      <c r="C38" t="n">
        <v>1918</v>
      </c>
      <c r="D38" t="n">
        <v>10</v>
      </c>
      <c r="E38" t="n">
        <v>0</v>
      </c>
      <c r="F38" t="n">
        <v>0</v>
      </c>
      <c r="G38" t="n">
        <v>2</v>
      </c>
      <c r="H38" t="n">
        <v>8</v>
      </c>
    </row>
    <row r="39">
      <c r="A39" t="inlineStr">
        <is>
          <t>Health &amp; Family Welfare</t>
        </is>
      </c>
      <c r="B39" t="n">
        <v>82641</v>
      </c>
      <c r="C39" t="n">
        <v>81522</v>
      </c>
      <c r="D39" t="n">
        <v>1119</v>
      </c>
      <c r="E39" t="n">
        <v>13</v>
      </c>
      <c r="F39" t="n">
        <v>9</v>
      </c>
      <c r="G39" t="n">
        <v>130</v>
      </c>
      <c r="H39" t="n">
        <v>967</v>
      </c>
    </row>
    <row r="40">
      <c r="A40" t="inlineStr">
        <is>
          <t>Health Research</t>
        </is>
      </c>
      <c r="B40" t="n">
        <v>3486</v>
      </c>
      <c r="C40" t="n">
        <v>3300</v>
      </c>
      <c r="D40" t="n">
        <v>186</v>
      </c>
      <c r="E40" t="n">
        <v>46</v>
      </c>
      <c r="F40" t="n">
        <v>37</v>
      </c>
      <c r="G40" t="n">
        <v>47</v>
      </c>
      <c r="H40" t="n">
        <v>56</v>
      </c>
    </row>
    <row r="41">
      <c r="A41" t="inlineStr">
        <is>
          <t>Heavy Industry</t>
        </is>
      </c>
      <c r="B41" t="n">
        <v>5917</v>
      </c>
      <c r="C41" t="n">
        <v>5864</v>
      </c>
      <c r="D41" t="n">
        <v>53</v>
      </c>
      <c r="E41" t="n">
        <v>0</v>
      </c>
      <c r="F41" t="n">
        <v>0</v>
      </c>
      <c r="G41" t="n">
        <v>0</v>
      </c>
      <c r="H41" t="n">
        <v>53</v>
      </c>
    </row>
    <row r="42">
      <c r="A42" t="inlineStr">
        <is>
          <t>Higher Education</t>
        </is>
      </c>
      <c r="B42" t="n">
        <v>89600</v>
      </c>
      <c r="C42" t="n">
        <v>87581</v>
      </c>
      <c r="D42" t="n">
        <v>2019</v>
      </c>
      <c r="E42" t="n">
        <v>15</v>
      </c>
      <c r="F42" t="n">
        <v>13</v>
      </c>
      <c r="G42" t="n">
        <v>357</v>
      </c>
      <c r="H42" t="n">
        <v>1634</v>
      </c>
    </row>
    <row r="43">
      <c r="A43" t="inlineStr">
        <is>
          <t>Home Affairs</t>
        </is>
      </c>
      <c r="B43" t="n">
        <v>108289</v>
      </c>
      <c r="C43" t="n">
        <v>100058</v>
      </c>
      <c r="D43" t="n">
        <v>8231</v>
      </c>
      <c r="E43" t="n">
        <v>1077</v>
      </c>
      <c r="F43" t="n">
        <v>955</v>
      </c>
      <c r="G43" t="n">
        <v>2448</v>
      </c>
      <c r="H43" t="n">
        <v>3751</v>
      </c>
    </row>
    <row r="44">
      <c r="A44" t="inlineStr">
        <is>
          <t>Housing and Urban Affairs</t>
        </is>
      </c>
      <c r="B44" t="n">
        <v>47198</v>
      </c>
      <c r="C44" t="n">
        <v>46074</v>
      </c>
      <c r="D44" t="n">
        <v>1124</v>
      </c>
      <c r="E44" t="n">
        <v>19</v>
      </c>
      <c r="F44" t="n">
        <v>14</v>
      </c>
      <c r="G44" t="n">
        <v>258</v>
      </c>
      <c r="H44" t="n">
        <v>833</v>
      </c>
    </row>
    <row r="45">
      <c r="A45" t="inlineStr">
        <is>
          <t>Industrial Policy &amp; Promotion</t>
        </is>
      </c>
      <c r="B45" t="n">
        <v>8058</v>
      </c>
      <c r="C45" t="n">
        <v>8011</v>
      </c>
      <c r="D45" t="n">
        <v>47</v>
      </c>
      <c r="E45" t="n">
        <v>0</v>
      </c>
      <c r="F45" t="n">
        <v>2</v>
      </c>
      <c r="G45" t="n">
        <v>0</v>
      </c>
      <c r="H45" t="n">
        <v>45</v>
      </c>
    </row>
    <row r="46">
      <c r="A46" t="inlineStr">
        <is>
          <t>Information and Broadcasting</t>
        </is>
      </c>
      <c r="B46" t="n">
        <v>30458</v>
      </c>
      <c r="C46" t="n">
        <v>29826</v>
      </c>
      <c r="D46" t="n">
        <v>632</v>
      </c>
      <c r="E46" t="n">
        <v>1</v>
      </c>
      <c r="F46" t="n">
        <v>15</v>
      </c>
      <c r="G46" t="n">
        <v>191</v>
      </c>
      <c r="H46" t="n">
        <v>425</v>
      </c>
    </row>
    <row r="47">
      <c r="A47" t="inlineStr">
        <is>
          <t>Investment &amp; Public Asset Management</t>
        </is>
      </c>
      <c r="B47" t="n">
        <v>1698</v>
      </c>
      <c r="C47" t="n">
        <v>1689</v>
      </c>
      <c r="D47" t="n">
        <v>9</v>
      </c>
      <c r="E47" t="n">
        <v>0</v>
      </c>
      <c r="F47" t="n">
        <v>1</v>
      </c>
      <c r="G47" t="n">
        <v>2</v>
      </c>
      <c r="H47" t="n">
        <v>6</v>
      </c>
    </row>
    <row r="48">
      <c r="A48" t="inlineStr">
        <is>
          <t>Justice</t>
        </is>
      </c>
      <c r="B48" t="n">
        <v>35265</v>
      </c>
      <c r="C48" t="n">
        <v>35003</v>
      </c>
      <c r="D48" t="n">
        <v>262</v>
      </c>
      <c r="E48" t="n">
        <v>2</v>
      </c>
      <c r="F48" t="n">
        <v>0</v>
      </c>
      <c r="G48" t="n">
        <v>6</v>
      </c>
      <c r="H48" t="n">
        <v>254</v>
      </c>
    </row>
    <row r="49">
      <c r="A49" t="inlineStr">
        <is>
          <t>Labour and Employment</t>
        </is>
      </c>
      <c r="B49" t="n">
        <v>131406</v>
      </c>
      <c r="C49" t="n">
        <v>130142</v>
      </c>
      <c r="D49" t="n">
        <v>1264</v>
      </c>
      <c r="E49" t="n">
        <v>17</v>
      </c>
      <c r="F49" t="n">
        <v>7</v>
      </c>
      <c r="G49" t="n">
        <v>28</v>
      </c>
      <c r="H49" t="n">
        <v>1212</v>
      </c>
    </row>
    <row r="50">
      <c r="A50" t="inlineStr">
        <is>
          <t>Land Resources</t>
        </is>
      </c>
      <c r="B50" t="n">
        <v>2793</v>
      </c>
      <c r="C50" t="n">
        <v>2651</v>
      </c>
      <c r="D50" t="n">
        <v>142</v>
      </c>
      <c r="E50" t="n">
        <v>0</v>
      </c>
      <c r="F50" t="n">
        <v>2</v>
      </c>
      <c r="G50" t="n">
        <v>53</v>
      </c>
      <c r="H50" t="n">
        <v>87</v>
      </c>
    </row>
    <row r="51">
      <c r="A51" t="inlineStr">
        <is>
          <t>Legal Affairs</t>
        </is>
      </c>
      <c r="B51" t="n">
        <v>12075</v>
      </c>
      <c r="C51" t="n">
        <v>9253</v>
      </c>
      <c r="D51" t="n">
        <v>2822</v>
      </c>
      <c r="E51" t="n">
        <v>1725</v>
      </c>
      <c r="F51" t="n">
        <v>571</v>
      </c>
      <c r="G51" t="n">
        <v>349</v>
      </c>
      <c r="H51" t="n">
        <v>177</v>
      </c>
    </row>
    <row r="52">
      <c r="A52" t="inlineStr">
        <is>
          <t>Legislative Department</t>
        </is>
      </c>
      <c r="B52" t="n">
        <v>2615</v>
      </c>
      <c r="C52" t="n">
        <v>2184</v>
      </c>
      <c r="D52" t="n">
        <v>431</v>
      </c>
      <c r="E52" t="n">
        <v>61</v>
      </c>
      <c r="F52" t="n">
        <v>131</v>
      </c>
      <c r="G52" t="n">
        <v>119</v>
      </c>
      <c r="H52" t="n">
        <v>120</v>
      </c>
    </row>
    <row r="53">
      <c r="A53" t="inlineStr">
        <is>
          <t>Micro Small and Medium Enterprises</t>
        </is>
      </c>
      <c r="B53" t="n">
        <v>8736</v>
      </c>
      <c r="C53" t="n">
        <v>8501</v>
      </c>
      <c r="D53" t="n">
        <v>235</v>
      </c>
      <c r="E53" t="n">
        <v>0</v>
      </c>
      <c r="F53" t="n">
        <v>1</v>
      </c>
      <c r="G53" t="n">
        <v>25</v>
      </c>
      <c r="H53" t="n">
        <v>209</v>
      </c>
    </row>
    <row r="54">
      <c r="A54" t="inlineStr">
        <is>
          <t>Mines</t>
        </is>
      </c>
      <c r="B54" t="n">
        <v>4352</v>
      </c>
      <c r="C54" t="n">
        <v>4078</v>
      </c>
      <c r="D54" t="n">
        <v>274</v>
      </c>
      <c r="E54" t="n">
        <v>64</v>
      </c>
      <c r="F54" t="n">
        <v>38</v>
      </c>
      <c r="G54" t="n">
        <v>77</v>
      </c>
      <c r="H54" t="n">
        <v>95</v>
      </c>
    </row>
    <row r="55">
      <c r="A55" t="inlineStr">
        <is>
          <t>Minority Affairs</t>
        </is>
      </c>
      <c r="B55" t="n">
        <v>7280</v>
      </c>
      <c r="C55" t="n">
        <v>6933</v>
      </c>
      <c r="D55" t="n">
        <v>347</v>
      </c>
      <c r="E55" t="n">
        <v>54</v>
      </c>
      <c r="F55" t="n">
        <v>105</v>
      </c>
      <c r="G55" t="n">
        <v>102</v>
      </c>
      <c r="H55" t="n">
        <v>86</v>
      </c>
    </row>
    <row r="56">
      <c r="A56" t="inlineStr">
        <is>
          <t>New and Renewable Energy</t>
        </is>
      </c>
      <c r="B56" t="n">
        <v>3817</v>
      </c>
      <c r="C56" t="n">
        <v>3782</v>
      </c>
      <c r="D56" t="n">
        <v>35</v>
      </c>
      <c r="E56" t="n">
        <v>0</v>
      </c>
      <c r="F56" t="n">
        <v>0</v>
      </c>
      <c r="G56" t="n">
        <v>3</v>
      </c>
      <c r="H56" t="n">
        <v>32</v>
      </c>
    </row>
    <row r="57">
      <c r="A57" t="inlineStr">
        <is>
          <t>NITI Aayog</t>
        </is>
      </c>
      <c r="B57" t="n">
        <v>5640</v>
      </c>
      <c r="C57" t="n">
        <v>5631</v>
      </c>
      <c r="D57" t="n">
        <v>9</v>
      </c>
      <c r="E57" t="n">
        <v>0</v>
      </c>
      <c r="F57" t="n">
        <v>0</v>
      </c>
      <c r="G57" t="n">
        <v>0</v>
      </c>
      <c r="H57" t="n">
        <v>9</v>
      </c>
    </row>
    <row r="58">
      <c r="A58" t="inlineStr">
        <is>
          <t>O/o the Comptroller &amp; Auditor General of India</t>
        </is>
      </c>
      <c r="B58" t="n">
        <v>12467</v>
      </c>
      <c r="C58" t="n">
        <v>12255</v>
      </c>
      <c r="D58" t="n">
        <v>212</v>
      </c>
      <c r="E58" t="n">
        <v>1</v>
      </c>
      <c r="F58" t="n">
        <v>2</v>
      </c>
      <c r="G58" t="n">
        <v>77</v>
      </c>
      <c r="H58" t="n">
        <v>132</v>
      </c>
    </row>
    <row r="59">
      <c r="A59" t="inlineStr">
        <is>
          <t>Official Language</t>
        </is>
      </c>
      <c r="B59" t="n">
        <v>1347</v>
      </c>
      <c r="C59" t="n">
        <v>1331</v>
      </c>
      <c r="D59" t="n">
        <v>16</v>
      </c>
      <c r="E59" t="n">
        <v>0</v>
      </c>
      <c r="F59" t="n">
        <v>3</v>
      </c>
      <c r="G59" t="n">
        <v>6</v>
      </c>
      <c r="H59" t="n">
        <v>7</v>
      </c>
    </row>
    <row r="60">
      <c r="A60" t="inlineStr">
        <is>
          <t>Panchayati Raj</t>
        </is>
      </c>
      <c r="B60" t="n">
        <v>5765</v>
      </c>
      <c r="C60" t="n">
        <v>5695</v>
      </c>
      <c r="D60" t="n">
        <v>70</v>
      </c>
      <c r="E60" t="n">
        <v>0</v>
      </c>
      <c r="F60" t="n">
        <v>0</v>
      </c>
      <c r="G60" t="n">
        <v>5</v>
      </c>
      <c r="H60" t="n">
        <v>65</v>
      </c>
    </row>
    <row r="61">
      <c r="A61" t="inlineStr">
        <is>
          <t>Parliamentary Affairs</t>
        </is>
      </c>
      <c r="B61" t="n">
        <v>3082</v>
      </c>
      <c r="C61" t="n">
        <v>3077</v>
      </c>
      <c r="D61" t="n">
        <v>5</v>
      </c>
      <c r="E61" t="n">
        <v>0</v>
      </c>
      <c r="F61" t="n">
        <v>0</v>
      </c>
      <c r="G61" t="n">
        <v>1</v>
      </c>
      <c r="H61" t="n">
        <v>4</v>
      </c>
    </row>
    <row r="62">
      <c r="A62" t="inlineStr">
        <is>
          <t>Personnel and Training</t>
        </is>
      </c>
      <c r="B62" t="n">
        <v>99373</v>
      </c>
      <c r="C62" t="n">
        <v>98112</v>
      </c>
      <c r="D62" t="n">
        <v>1261</v>
      </c>
      <c r="E62" t="n">
        <v>176</v>
      </c>
      <c r="F62" t="n">
        <v>140</v>
      </c>
      <c r="G62" t="n">
        <v>279</v>
      </c>
      <c r="H62" t="n">
        <v>666</v>
      </c>
    </row>
    <row r="63">
      <c r="A63" t="inlineStr">
        <is>
          <t>Petroleum and Natural Gas</t>
        </is>
      </c>
      <c r="B63" t="n">
        <v>66127</v>
      </c>
      <c r="C63" t="n">
        <v>65448</v>
      </c>
      <c r="D63" t="n">
        <v>679</v>
      </c>
      <c r="E63" t="n">
        <v>5</v>
      </c>
      <c r="F63" t="n">
        <v>1</v>
      </c>
      <c r="G63" t="n">
        <v>8</v>
      </c>
      <c r="H63" t="n">
        <v>665</v>
      </c>
    </row>
    <row r="64">
      <c r="A64" t="inlineStr">
        <is>
          <t>Pharmaceutical</t>
        </is>
      </c>
      <c r="B64" t="n">
        <v>6732</v>
      </c>
      <c r="C64" t="n">
        <v>6671</v>
      </c>
      <c r="D64" t="n">
        <v>61</v>
      </c>
      <c r="E64" t="n">
        <v>1</v>
      </c>
      <c r="F64" t="n">
        <v>8</v>
      </c>
      <c r="G64" t="n">
        <v>6</v>
      </c>
      <c r="H64" t="n">
        <v>46</v>
      </c>
    </row>
    <row r="65">
      <c r="A65" t="inlineStr">
        <is>
          <t>Posts</t>
        </is>
      </c>
      <c r="B65" t="n">
        <v>152602</v>
      </c>
      <c r="C65" t="n">
        <v>150622</v>
      </c>
      <c r="D65" t="n">
        <v>1980</v>
      </c>
      <c r="E65" t="n">
        <v>128</v>
      </c>
      <c r="F65" t="n">
        <v>15</v>
      </c>
      <c r="G65" t="n">
        <v>117</v>
      </c>
      <c r="H65" t="n">
        <v>1720</v>
      </c>
    </row>
    <row r="66">
      <c r="A66" t="inlineStr">
        <is>
          <t>Power</t>
        </is>
      </c>
      <c r="B66" t="n">
        <v>15571</v>
      </c>
      <c r="C66" t="n">
        <v>15256</v>
      </c>
      <c r="D66" t="n">
        <v>315</v>
      </c>
      <c r="E66" t="n">
        <v>24</v>
      </c>
      <c r="F66" t="n">
        <v>42</v>
      </c>
      <c r="G66" t="n">
        <v>79</v>
      </c>
      <c r="H66" t="n">
        <v>170</v>
      </c>
    </row>
    <row r="67">
      <c r="A67" t="inlineStr">
        <is>
          <t>Public Enterprises</t>
        </is>
      </c>
      <c r="B67" t="n">
        <v>3861</v>
      </c>
      <c r="C67" t="n">
        <v>3851</v>
      </c>
      <c r="D67" t="n">
        <v>10</v>
      </c>
      <c r="E67" t="n">
        <v>0</v>
      </c>
      <c r="F67" t="n">
        <v>0</v>
      </c>
      <c r="G67" t="n">
        <v>0</v>
      </c>
      <c r="H67" t="n">
        <v>10</v>
      </c>
    </row>
    <row r="68">
      <c r="A68" t="inlineStr">
        <is>
          <t>Railways, ( Railway Board)</t>
        </is>
      </c>
      <c r="B68" t="n">
        <v>213382</v>
      </c>
      <c r="C68" t="n">
        <v>208449</v>
      </c>
      <c r="D68" t="n">
        <v>4933</v>
      </c>
      <c r="E68" t="n">
        <v>376</v>
      </c>
      <c r="F68" t="n">
        <v>335</v>
      </c>
      <c r="G68" t="n">
        <v>1014</v>
      </c>
      <c r="H68" t="n">
        <v>3208</v>
      </c>
    </row>
    <row r="69">
      <c r="A69" t="inlineStr">
        <is>
          <t>Revenue</t>
        </is>
      </c>
      <c r="B69" t="n">
        <v>94756</v>
      </c>
      <c r="C69" t="n">
        <v>91178</v>
      </c>
      <c r="D69" t="n">
        <v>3578</v>
      </c>
      <c r="E69" t="n">
        <v>244</v>
      </c>
      <c r="F69" t="n">
        <v>689</v>
      </c>
      <c r="G69" t="n">
        <v>1312</v>
      </c>
      <c r="H69" t="n">
        <v>1333</v>
      </c>
    </row>
    <row r="70">
      <c r="A70" t="inlineStr">
        <is>
          <t>Road Transport and Highways</t>
        </is>
      </c>
      <c r="B70" t="n">
        <v>42711</v>
      </c>
      <c r="C70" t="n">
        <v>40516</v>
      </c>
      <c r="D70" t="n">
        <v>2195</v>
      </c>
      <c r="E70" t="n">
        <v>59</v>
      </c>
      <c r="F70" t="n">
        <v>131</v>
      </c>
      <c r="G70" t="n">
        <v>359</v>
      </c>
      <c r="H70" t="n">
        <v>1646</v>
      </c>
    </row>
    <row r="71">
      <c r="A71" t="inlineStr">
        <is>
          <t>Rural Development</t>
        </is>
      </c>
      <c r="B71" t="n">
        <v>16699</v>
      </c>
      <c r="C71" t="n">
        <v>15396</v>
      </c>
      <c r="D71" t="n">
        <v>1303</v>
      </c>
      <c r="E71" t="n">
        <v>157</v>
      </c>
      <c r="F71" t="n">
        <v>224</v>
      </c>
      <c r="G71" t="n">
        <v>355</v>
      </c>
      <c r="H71" t="n">
        <v>567</v>
      </c>
    </row>
    <row r="72">
      <c r="A72" t="inlineStr">
        <is>
          <t>School Education and Literacy</t>
        </is>
      </c>
      <c r="B72" t="n">
        <v>63858</v>
      </c>
      <c r="C72" t="n">
        <v>62222</v>
      </c>
      <c r="D72" t="n">
        <v>1636</v>
      </c>
      <c r="E72" t="n">
        <v>7</v>
      </c>
      <c r="F72" t="n">
        <v>9</v>
      </c>
      <c r="G72" t="n">
        <v>349</v>
      </c>
      <c r="H72" t="n">
        <v>1271</v>
      </c>
    </row>
    <row r="73">
      <c r="A73" t="inlineStr">
        <is>
          <t>Science and Technology</t>
        </is>
      </c>
      <c r="B73" t="n">
        <v>7808</v>
      </c>
      <c r="C73" t="n">
        <v>7702</v>
      </c>
      <c r="D73" t="n">
        <v>106</v>
      </c>
      <c r="E73" t="n">
        <v>0</v>
      </c>
      <c r="F73" t="n">
        <v>3</v>
      </c>
      <c r="G73" t="n">
        <v>23</v>
      </c>
      <c r="H73" t="n">
        <v>80</v>
      </c>
    </row>
    <row r="74">
      <c r="A74" t="inlineStr">
        <is>
          <t>Scientific &amp; Industrial Research</t>
        </is>
      </c>
      <c r="B74" t="n">
        <v>4434</v>
      </c>
      <c r="C74" t="n">
        <v>4155</v>
      </c>
      <c r="D74" t="n">
        <v>279</v>
      </c>
      <c r="E74" t="n">
        <v>16</v>
      </c>
      <c r="F74" t="n">
        <v>59</v>
      </c>
      <c r="G74" t="n">
        <v>92</v>
      </c>
      <c r="H74" t="n">
        <v>112</v>
      </c>
    </row>
    <row r="75">
      <c r="A75" t="inlineStr">
        <is>
          <t>Shipping</t>
        </is>
      </c>
      <c r="B75" t="n">
        <v>6570</v>
      </c>
      <c r="C75" t="n">
        <v>6211</v>
      </c>
      <c r="D75" t="n">
        <v>359</v>
      </c>
      <c r="E75" t="n">
        <v>12</v>
      </c>
      <c r="F75" t="n">
        <v>61</v>
      </c>
      <c r="G75" t="n">
        <v>101</v>
      </c>
      <c r="H75" t="n">
        <v>185</v>
      </c>
    </row>
    <row r="76">
      <c r="A76" t="inlineStr">
        <is>
          <t>Skill Development and Entrepreneurship</t>
        </is>
      </c>
      <c r="B76" t="n">
        <v>9492</v>
      </c>
      <c r="C76" t="n">
        <v>9276</v>
      </c>
      <c r="D76" t="n">
        <v>216</v>
      </c>
      <c r="E76" t="n">
        <v>5</v>
      </c>
      <c r="F76" t="n">
        <v>20</v>
      </c>
      <c r="G76" t="n">
        <v>44</v>
      </c>
      <c r="H76" t="n">
        <v>147</v>
      </c>
    </row>
    <row r="77">
      <c r="A77" t="inlineStr">
        <is>
          <t>Social Justice and Empowerment</t>
        </is>
      </c>
      <c r="B77" t="n">
        <v>17040</v>
      </c>
      <c r="C77" t="n">
        <v>16097</v>
      </c>
      <c r="D77" t="n">
        <v>943</v>
      </c>
      <c r="E77" t="n">
        <v>424</v>
      </c>
      <c r="F77" t="n">
        <v>230</v>
      </c>
      <c r="G77" t="n">
        <v>141</v>
      </c>
      <c r="H77" t="n">
        <v>148</v>
      </c>
    </row>
    <row r="78">
      <c r="A78" t="inlineStr">
        <is>
          <t>Space</t>
        </is>
      </c>
      <c r="B78" t="n">
        <v>2263</v>
      </c>
      <c r="C78" t="n">
        <v>2007</v>
      </c>
      <c r="D78" t="n">
        <v>256</v>
      </c>
      <c r="E78" t="n">
        <v>12</v>
      </c>
      <c r="F78" t="n">
        <v>17</v>
      </c>
      <c r="G78" t="n">
        <v>29</v>
      </c>
      <c r="H78" t="n">
        <v>198</v>
      </c>
    </row>
    <row r="79">
      <c r="A79" t="inlineStr">
        <is>
          <t>Sports</t>
        </is>
      </c>
      <c r="B79" t="n">
        <v>6909</v>
      </c>
      <c r="C79" t="n">
        <v>6657</v>
      </c>
      <c r="D79" t="n">
        <v>252</v>
      </c>
      <c r="E79" t="n">
        <v>5</v>
      </c>
      <c r="F79" t="n">
        <v>7</v>
      </c>
      <c r="G79" t="n">
        <v>100</v>
      </c>
      <c r="H79" t="n">
        <v>140</v>
      </c>
    </row>
    <row r="80">
      <c r="A80" t="inlineStr">
        <is>
          <t>Statistics and Programme Implementation</t>
        </is>
      </c>
      <c r="B80" t="n">
        <v>1870</v>
      </c>
      <c r="C80" t="n">
        <v>1843</v>
      </c>
      <c r="D80" t="n">
        <v>27</v>
      </c>
      <c r="E80" t="n">
        <v>0</v>
      </c>
      <c r="F80" t="n">
        <v>1</v>
      </c>
      <c r="G80" t="n">
        <v>8</v>
      </c>
      <c r="H80" t="n">
        <v>18</v>
      </c>
    </row>
    <row r="81">
      <c r="A81" t="inlineStr">
        <is>
          <t>Steel</t>
        </is>
      </c>
      <c r="B81" t="n">
        <v>6053</v>
      </c>
      <c r="C81" t="n">
        <v>6004</v>
      </c>
      <c r="D81" t="n">
        <v>49</v>
      </c>
      <c r="E81" t="n">
        <v>0</v>
      </c>
      <c r="F81" t="n">
        <v>0</v>
      </c>
      <c r="G81" t="n">
        <v>1</v>
      </c>
      <c r="H81" t="n">
        <v>48</v>
      </c>
    </row>
    <row r="82">
      <c r="A82" t="inlineStr">
        <is>
          <t>Telecommunications</t>
        </is>
      </c>
      <c r="B82" t="n">
        <v>261387</v>
      </c>
      <c r="C82" t="n">
        <v>258562</v>
      </c>
      <c r="D82" t="n">
        <v>2825</v>
      </c>
      <c r="E82" t="n">
        <v>16</v>
      </c>
      <c r="F82" t="n">
        <v>26</v>
      </c>
      <c r="G82" t="n">
        <v>360</v>
      </c>
      <c r="H82" t="n">
        <v>2423</v>
      </c>
    </row>
    <row r="83">
      <c r="A83" t="inlineStr">
        <is>
          <t>Textiles</t>
        </is>
      </c>
      <c r="B83" t="n">
        <v>5606</v>
      </c>
      <c r="C83" t="n">
        <v>5459</v>
      </c>
      <c r="D83" t="n">
        <v>147</v>
      </c>
      <c r="E83" t="n">
        <v>0</v>
      </c>
      <c r="F83" t="n">
        <v>0</v>
      </c>
      <c r="G83" t="n">
        <v>10</v>
      </c>
      <c r="H83" t="n">
        <v>137</v>
      </c>
    </row>
    <row r="84">
      <c r="A84" t="inlineStr">
        <is>
          <t>Tourism</t>
        </is>
      </c>
      <c r="B84" t="n">
        <v>4717</v>
      </c>
      <c r="C84" t="n">
        <v>4693</v>
      </c>
      <c r="D84" t="n">
        <v>24</v>
      </c>
      <c r="E84" t="n">
        <v>0</v>
      </c>
      <c r="F84" t="n">
        <v>0</v>
      </c>
      <c r="G84" t="n">
        <v>1</v>
      </c>
      <c r="H84" t="n">
        <v>23</v>
      </c>
    </row>
    <row r="85">
      <c r="A85" t="inlineStr">
        <is>
          <t>Tribal Affairs</t>
        </is>
      </c>
      <c r="B85" t="n">
        <v>3778</v>
      </c>
      <c r="C85" t="n">
        <v>3633</v>
      </c>
      <c r="D85" t="n">
        <v>145</v>
      </c>
      <c r="E85" t="n">
        <v>0</v>
      </c>
      <c r="F85" t="n">
        <v>3</v>
      </c>
      <c r="G85" t="n">
        <v>11</v>
      </c>
      <c r="H85" t="n">
        <v>131</v>
      </c>
    </row>
    <row r="86">
      <c r="A86" t="inlineStr">
        <is>
          <t>Unique Identification Authority of India</t>
        </is>
      </c>
      <c r="B86" t="n">
        <v>39124</v>
      </c>
      <c r="C86" t="n">
        <v>38583</v>
      </c>
      <c r="D86" t="n">
        <v>541</v>
      </c>
      <c r="E86" t="n">
        <v>0</v>
      </c>
      <c r="F86" t="n">
        <v>0</v>
      </c>
      <c r="G86" t="n">
        <v>18</v>
      </c>
      <c r="H86" t="n">
        <v>523</v>
      </c>
    </row>
    <row r="87">
      <c r="A87" t="inlineStr">
        <is>
          <t>Water Resources, River Development &amp; Ganga Rejuvenuation,</t>
        </is>
      </c>
      <c r="B87" t="n">
        <v>15421</v>
      </c>
      <c r="C87" t="n">
        <v>14627</v>
      </c>
      <c r="D87" t="n">
        <v>794</v>
      </c>
      <c r="E87" t="n">
        <v>35</v>
      </c>
      <c r="F87" t="n">
        <v>27</v>
      </c>
      <c r="G87" t="n">
        <v>329</v>
      </c>
      <c r="H87" t="n">
        <v>403</v>
      </c>
    </row>
    <row r="88">
      <c r="A88" t="inlineStr">
        <is>
          <t>Women and Child Development</t>
        </is>
      </c>
      <c r="B88" t="n">
        <v>16426</v>
      </c>
      <c r="C88" t="n">
        <v>16256</v>
      </c>
      <c r="D88" t="n">
        <v>170</v>
      </c>
      <c r="E88" t="n">
        <v>0</v>
      </c>
      <c r="F88" t="n">
        <v>1</v>
      </c>
      <c r="G88" t="n">
        <v>6</v>
      </c>
      <c r="H88" t="n">
        <v>163</v>
      </c>
    </row>
    <row r="89">
      <c r="A89" t="inlineStr">
        <is>
          <t>Youth Affairs</t>
        </is>
      </c>
      <c r="B89" t="n">
        <v>3727</v>
      </c>
      <c r="C89" t="n">
        <v>3623</v>
      </c>
      <c r="D89" t="n">
        <v>104</v>
      </c>
      <c r="E89" t="n">
        <v>3</v>
      </c>
      <c r="F89" t="n">
        <v>15</v>
      </c>
      <c r="G89" t="n">
        <v>33</v>
      </c>
      <c r="H89" t="n">
        <v>53</v>
      </c>
    </row>
    <row r="90">
      <c r="A90" t="inlineStr">
        <is>
          <t>NCT of Delhi</t>
        </is>
      </c>
      <c r="B90" t="n">
        <v>100682</v>
      </c>
      <c r="C90" t="n">
        <v>86609</v>
      </c>
      <c r="D90" t="n">
        <v>14073</v>
      </c>
      <c r="E90" t="n">
        <v>2760</v>
      </c>
      <c r="F90" t="n">
        <v>1775</v>
      </c>
      <c r="G90" t="n">
        <v>3948</v>
      </c>
      <c r="H90" t="n">
        <v>5590</v>
      </c>
    </row>
    <row r="91">
      <c r="A91" t="inlineStr">
        <is>
          <t>Andaman &amp; Nicobar</t>
        </is>
      </c>
      <c r="B91" t="n">
        <v>1884</v>
      </c>
      <c r="C91" t="n">
        <v>1795</v>
      </c>
      <c r="D91" t="n">
        <v>89</v>
      </c>
      <c r="E91" t="n">
        <v>0</v>
      </c>
      <c r="F91" t="n">
        <v>0</v>
      </c>
      <c r="G91" t="n">
        <v>20</v>
      </c>
      <c r="H91" t="n">
        <v>69</v>
      </c>
    </row>
    <row r="92">
      <c r="A92" t="inlineStr">
        <is>
          <t>Andhra Pradesh</t>
        </is>
      </c>
      <c r="B92" t="n">
        <v>26978</v>
      </c>
      <c r="C92" t="n">
        <v>568</v>
      </c>
      <c r="D92" t="n">
        <v>26410</v>
      </c>
      <c r="E92" t="n">
        <v>21706</v>
      </c>
      <c r="F92" t="n">
        <v>2079</v>
      </c>
      <c r="G92" t="n">
        <v>1656</v>
      </c>
      <c r="H92" t="n">
        <v>969</v>
      </c>
    </row>
    <row r="93">
      <c r="A93" t="inlineStr">
        <is>
          <t>Arunachal Pradesh</t>
        </is>
      </c>
      <c r="B93" t="n">
        <v>1498</v>
      </c>
      <c r="C93" t="n">
        <v>1008</v>
      </c>
      <c r="D93" t="n">
        <v>490</v>
      </c>
      <c r="E93" t="n">
        <v>169</v>
      </c>
      <c r="F93" t="n">
        <v>150</v>
      </c>
      <c r="G93" t="n">
        <v>78</v>
      </c>
      <c r="H93" t="n">
        <v>93</v>
      </c>
    </row>
    <row r="94">
      <c r="A94" t="inlineStr">
        <is>
          <t>Assam</t>
        </is>
      </c>
      <c r="B94" t="n">
        <v>30207</v>
      </c>
      <c r="C94" t="n">
        <v>3129</v>
      </c>
      <c r="D94" t="n">
        <v>27078</v>
      </c>
      <c r="E94" t="n">
        <v>19996</v>
      </c>
      <c r="F94" t="n">
        <v>2673</v>
      </c>
      <c r="G94" t="n">
        <v>2921</v>
      </c>
      <c r="H94" t="n">
        <v>1488</v>
      </c>
    </row>
    <row r="95">
      <c r="A95" t="inlineStr">
        <is>
          <t>Bihar</t>
        </is>
      </c>
      <c r="B95" t="n">
        <v>86518</v>
      </c>
      <c r="C95" t="n">
        <v>25232</v>
      </c>
      <c r="D95" t="n">
        <v>61286</v>
      </c>
      <c r="E95" t="n">
        <v>34487</v>
      </c>
      <c r="F95" t="n">
        <v>9484</v>
      </c>
      <c r="G95" t="n">
        <v>9889</v>
      </c>
      <c r="H95" t="n">
        <v>7426</v>
      </c>
    </row>
    <row r="96">
      <c r="A96" t="inlineStr">
        <is>
          <t>Union Territory of Chandigarh</t>
        </is>
      </c>
      <c r="B96" t="n">
        <v>9368</v>
      </c>
      <c r="C96" t="n">
        <v>9039</v>
      </c>
      <c r="D96" t="n">
        <v>329</v>
      </c>
      <c r="E96" t="n">
        <v>1</v>
      </c>
      <c r="F96" t="n">
        <v>54</v>
      </c>
      <c r="G96" t="n">
        <v>109</v>
      </c>
      <c r="H96" t="n">
        <v>165</v>
      </c>
    </row>
    <row r="97">
      <c r="A97" t="inlineStr">
        <is>
          <t>Chattisgarh</t>
        </is>
      </c>
      <c r="B97" t="n">
        <v>36916</v>
      </c>
      <c r="C97" t="n">
        <v>31180</v>
      </c>
      <c r="D97" t="n">
        <v>5736</v>
      </c>
      <c r="E97" t="n">
        <v>3194</v>
      </c>
      <c r="F97" t="n">
        <v>760</v>
      </c>
      <c r="G97" t="n">
        <v>867</v>
      </c>
      <c r="H97" t="n">
        <v>915</v>
      </c>
    </row>
    <row r="98">
      <c r="A98" t="inlineStr">
        <is>
          <t>Union Territory of Dadra &amp; Nagar Haveli</t>
        </is>
      </c>
      <c r="B98" t="n">
        <v>996</v>
      </c>
      <c r="C98" t="n">
        <v>788</v>
      </c>
      <c r="D98" t="n">
        <v>208</v>
      </c>
      <c r="E98" t="n">
        <v>0</v>
      </c>
      <c r="F98" t="n">
        <v>0</v>
      </c>
      <c r="G98" t="n">
        <v>12</v>
      </c>
      <c r="H98" t="n">
        <v>196</v>
      </c>
    </row>
    <row r="99">
      <c r="A99" t="inlineStr">
        <is>
          <t>Union Territory of Daman &amp; Diu</t>
        </is>
      </c>
      <c r="B99" t="n">
        <v>783</v>
      </c>
      <c r="C99" t="n">
        <v>765</v>
      </c>
      <c r="D99" t="n">
        <v>18</v>
      </c>
      <c r="E99" t="n">
        <v>0</v>
      </c>
      <c r="F99" t="n">
        <v>0</v>
      </c>
      <c r="G99" t="n">
        <v>1</v>
      </c>
      <c r="H99" t="n">
        <v>17</v>
      </c>
    </row>
    <row r="100">
      <c r="A100" t="inlineStr">
        <is>
          <t>Gujarat</t>
        </is>
      </c>
      <c r="B100" t="n">
        <v>90189</v>
      </c>
      <c r="C100" t="n">
        <v>80279</v>
      </c>
      <c r="D100" t="n">
        <v>9910</v>
      </c>
      <c r="E100" t="n">
        <v>536</v>
      </c>
      <c r="F100" t="n">
        <v>1425</v>
      </c>
      <c r="G100" t="n">
        <v>2703</v>
      </c>
      <c r="H100" t="n">
        <v>5246</v>
      </c>
    </row>
    <row r="101">
      <c r="A101" t="inlineStr">
        <is>
          <t>Goa</t>
        </is>
      </c>
      <c r="B101" t="n">
        <v>4445</v>
      </c>
      <c r="C101" t="n">
        <v>2880</v>
      </c>
      <c r="D101" t="n">
        <v>1565</v>
      </c>
      <c r="E101" t="n">
        <v>1008</v>
      </c>
      <c r="F101" t="n">
        <v>183</v>
      </c>
      <c r="G101" t="n">
        <v>224</v>
      </c>
      <c r="H101" t="n">
        <v>150</v>
      </c>
    </row>
    <row r="102">
      <c r="A102" t="inlineStr">
        <is>
          <t>Himachal Pradesh</t>
        </is>
      </c>
      <c r="B102" t="n">
        <v>18727</v>
      </c>
      <c r="C102" t="n">
        <v>232</v>
      </c>
      <c r="D102" t="n">
        <v>18495</v>
      </c>
      <c r="E102" t="n">
        <v>13312</v>
      </c>
      <c r="F102" t="n">
        <v>1917</v>
      </c>
      <c r="G102" t="n">
        <v>2026</v>
      </c>
      <c r="H102" t="n">
        <v>1240</v>
      </c>
    </row>
    <row r="103">
      <c r="A103" t="inlineStr">
        <is>
          <t>Haryana</t>
        </is>
      </c>
      <c r="B103" t="n">
        <v>102805</v>
      </c>
      <c r="C103" t="n">
        <v>56415</v>
      </c>
      <c r="D103" t="n">
        <v>46390</v>
      </c>
      <c r="E103" t="n">
        <v>29701</v>
      </c>
      <c r="F103" t="n">
        <v>4784</v>
      </c>
      <c r="G103" t="n">
        <v>6415</v>
      </c>
      <c r="H103" t="n">
        <v>5490</v>
      </c>
    </row>
    <row r="104">
      <c r="A104" t="inlineStr">
        <is>
          <t>Jharkhand</t>
        </is>
      </c>
      <c r="B104" t="n">
        <v>41484</v>
      </c>
      <c r="C104" t="n">
        <v>14688</v>
      </c>
      <c r="D104" t="n">
        <v>26796</v>
      </c>
      <c r="E104" t="n">
        <v>15095</v>
      </c>
      <c r="F104" t="n">
        <v>4916</v>
      </c>
      <c r="G104" t="n">
        <v>4213</v>
      </c>
      <c r="H104" t="n">
        <v>2572</v>
      </c>
    </row>
    <row r="105">
      <c r="A105" t="inlineStr">
        <is>
          <t>Jammu and Kashmir</t>
        </is>
      </c>
      <c r="B105" t="n">
        <v>14243</v>
      </c>
      <c r="C105" t="n">
        <v>302</v>
      </c>
      <c r="D105" t="n">
        <v>13941</v>
      </c>
      <c r="E105" t="n">
        <v>10487</v>
      </c>
      <c r="F105" t="n">
        <v>1507</v>
      </c>
      <c r="G105" t="n">
        <v>1362</v>
      </c>
      <c r="H105" t="n">
        <v>585</v>
      </c>
    </row>
    <row r="106">
      <c r="A106" t="inlineStr">
        <is>
          <t>Kerala</t>
        </is>
      </c>
      <c r="B106" t="n">
        <v>28827</v>
      </c>
      <c r="C106" t="n">
        <v>3139</v>
      </c>
      <c r="D106" t="n">
        <v>25688</v>
      </c>
      <c r="E106" t="n">
        <v>19124</v>
      </c>
      <c r="F106" t="n">
        <v>2795</v>
      </c>
      <c r="G106" t="n">
        <v>2344</v>
      </c>
      <c r="H106" t="n">
        <v>1425</v>
      </c>
    </row>
    <row r="107">
      <c r="A107" t="inlineStr">
        <is>
          <t>Karnataka</t>
        </is>
      </c>
      <c r="B107" t="n">
        <v>71031</v>
      </c>
      <c r="C107" t="n">
        <v>32435</v>
      </c>
      <c r="D107" t="n">
        <v>38596</v>
      </c>
      <c r="E107" t="n">
        <v>16943</v>
      </c>
      <c r="F107" t="n">
        <v>7426</v>
      </c>
      <c r="G107" t="n">
        <v>8729</v>
      </c>
      <c r="H107" t="n">
        <v>5498</v>
      </c>
    </row>
    <row r="108">
      <c r="A108" t="inlineStr">
        <is>
          <t>Union Territory of Lakshadweep</t>
        </is>
      </c>
      <c r="B108" t="n">
        <v>306</v>
      </c>
      <c r="C108" t="n">
        <v>297</v>
      </c>
      <c r="D108" t="n">
        <v>9</v>
      </c>
      <c r="E108" t="n">
        <v>0</v>
      </c>
      <c r="F108" t="n">
        <v>0</v>
      </c>
      <c r="G108" t="n">
        <v>1</v>
      </c>
      <c r="H108" t="n">
        <v>8</v>
      </c>
    </row>
    <row r="109">
      <c r="A109" t="inlineStr">
        <is>
          <t>Meghalaya</t>
        </is>
      </c>
      <c r="B109" t="n">
        <v>1618</v>
      </c>
      <c r="C109" t="n">
        <v>149</v>
      </c>
      <c r="D109" t="n">
        <v>1469</v>
      </c>
      <c r="E109" t="n">
        <v>1197</v>
      </c>
      <c r="F109" t="n">
        <v>82</v>
      </c>
      <c r="G109" t="n">
        <v>99</v>
      </c>
      <c r="H109" t="n">
        <v>91</v>
      </c>
    </row>
    <row r="110">
      <c r="A110" t="inlineStr">
        <is>
          <t>Maharashtra</t>
        </is>
      </c>
      <c r="B110" t="n">
        <v>163036</v>
      </c>
      <c r="C110" t="n">
        <v>50735</v>
      </c>
      <c r="D110" t="n">
        <v>112301</v>
      </c>
      <c r="E110" t="n">
        <v>66397</v>
      </c>
      <c r="F110" t="n">
        <v>18278</v>
      </c>
      <c r="G110" t="n">
        <v>15758</v>
      </c>
      <c r="H110" t="n">
        <v>11868</v>
      </c>
    </row>
    <row r="111">
      <c r="A111" t="inlineStr">
        <is>
          <t>Manipur</t>
        </is>
      </c>
      <c r="B111" t="n">
        <v>1624</v>
      </c>
      <c r="C111" t="n">
        <v>37</v>
      </c>
      <c r="D111" t="n">
        <v>1587</v>
      </c>
      <c r="E111" t="n">
        <v>1326</v>
      </c>
      <c r="F111" t="n">
        <v>99</v>
      </c>
      <c r="G111" t="n">
        <v>90</v>
      </c>
      <c r="H111" t="n">
        <v>72</v>
      </c>
    </row>
    <row r="112">
      <c r="A112" t="inlineStr">
        <is>
          <t>Madhya Pradesh</t>
        </is>
      </c>
      <c r="B112" t="n">
        <v>111124</v>
      </c>
      <c r="C112" t="n">
        <v>13255</v>
      </c>
      <c r="D112" t="n">
        <v>97869</v>
      </c>
      <c r="E112" t="n">
        <v>69957</v>
      </c>
      <c r="F112" t="n">
        <v>9897</v>
      </c>
      <c r="G112" t="n">
        <v>10745</v>
      </c>
      <c r="H112" t="n">
        <v>7270</v>
      </c>
    </row>
    <row r="113">
      <c r="A113" t="inlineStr">
        <is>
          <t>Mizoram</t>
        </is>
      </c>
      <c r="B113" t="n">
        <v>502</v>
      </c>
      <c r="C113" t="n">
        <v>20</v>
      </c>
      <c r="D113" t="n">
        <v>482</v>
      </c>
      <c r="E113" t="n">
        <v>381</v>
      </c>
      <c r="F113" t="n">
        <v>28</v>
      </c>
      <c r="G113" t="n">
        <v>30</v>
      </c>
      <c r="H113" t="n">
        <v>43</v>
      </c>
    </row>
    <row r="114">
      <c r="A114" t="inlineStr">
        <is>
          <t>Nagaland</t>
        </is>
      </c>
      <c r="B114" t="n">
        <v>626</v>
      </c>
      <c r="C114" t="n">
        <v>374</v>
      </c>
      <c r="D114" t="n">
        <v>252</v>
      </c>
      <c r="E114" t="n">
        <v>152</v>
      </c>
      <c r="F114" t="n">
        <v>20</v>
      </c>
      <c r="G114" t="n">
        <v>31</v>
      </c>
      <c r="H114" t="n">
        <v>49</v>
      </c>
    </row>
    <row r="115">
      <c r="A115" t="inlineStr">
        <is>
          <t>Odisha</t>
        </is>
      </c>
      <c r="B115" t="n">
        <v>29417</v>
      </c>
      <c r="C115" t="n">
        <v>1640</v>
      </c>
      <c r="D115" t="n">
        <v>27777</v>
      </c>
      <c r="E115" t="n">
        <v>21742</v>
      </c>
      <c r="F115" t="n">
        <v>2515</v>
      </c>
      <c r="G115" t="n">
        <v>2177</v>
      </c>
      <c r="H115" t="n">
        <v>1343</v>
      </c>
    </row>
    <row r="116">
      <c r="A116" t="inlineStr">
        <is>
          <t>Punjab</t>
        </is>
      </c>
      <c r="B116" t="n">
        <v>37833</v>
      </c>
      <c r="C116" t="n">
        <v>21678</v>
      </c>
      <c r="D116" t="n">
        <v>16155</v>
      </c>
      <c r="E116" t="n">
        <v>7416</v>
      </c>
      <c r="F116" t="n">
        <v>3124</v>
      </c>
      <c r="G116" t="n">
        <v>3488</v>
      </c>
      <c r="H116" t="n">
        <v>2127</v>
      </c>
    </row>
    <row r="117">
      <c r="A117" t="inlineStr">
        <is>
          <t>Puducherry</t>
        </is>
      </c>
      <c r="B117" t="n">
        <v>2581</v>
      </c>
      <c r="C117" t="n">
        <v>1998</v>
      </c>
      <c r="D117" t="n">
        <v>583</v>
      </c>
      <c r="E117" t="n">
        <v>117</v>
      </c>
      <c r="F117" t="n">
        <v>111</v>
      </c>
      <c r="G117" t="n">
        <v>181</v>
      </c>
      <c r="H117" t="n">
        <v>174</v>
      </c>
    </row>
    <row r="118">
      <c r="A118" t="inlineStr">
        <is>
          <t>Rajasthan</t>
        </is>
      </c>
      <c r="B118" t="n">
        <v>133956</v>
      </c>
      <c r="C118" t="n">
        <v>22441</v>
      </c>
      <c r="D118" t="n">
        <v>111515</v>
      </c>
      <c r="E118" t="n">
        <v>97928</v>
      </c>
      <c r="F118" t="n">
        <v>2087</v>
      </c>
      <c r="G118" t="n">
        <v>3987</v>
      </c>
      <c r="H118" t="n">
        <v>7513</v>
      </c>
    </row>
    <row r="119">
      <c r="A119" t="inlineStr">
        <is>
          <t>Sikkim</t>
        </is>
      </c>
      <c r="B119" t="n">
        <v>725</v>
      </c>
      <c r="C119" t="n">
        <v>19</v>
      </c>
      <c r="D119" t="n">
        <v>706</v>
      </c>
      <c r="E119" t="n">
        <v>572</v>
      </c>
      <c r="F119" t="n">
        <v>46</v>
      </c>
      <c r="G119" t="n">
        <v>52</v>
      </c>
      <c r="H119" t="n">
        <v>36</v>
      </c>
    </row>
    <row r="120">
      <c r="A120" t="inlineStr">
        <is>
          <t>Telangana</t>
        </is>
      </c>
      <c r="B120" t="n">
        <v>26874</v>
      </c>
      <c r="C120" t="n">
        <v>20058</v>
      </c>
      <c r="D120" t="n">
        <v>6816</v>
      </c>
      <c r="E120" t="n">
        <v>5463</v>
      </c>
      <c r="F120" t="n">
        <v>135</v>
      </c>
      <c r="G120" t="n">
        <v>219</v>
      </c>
      <c r="H120" t="n">
        <v>999</v>
      </c>
    </row>
    <row r="121">
      <c r="A121" t="inlineStr">
        <is>
          <t>Tamil Nadu</t>
        </is>
      </c>
      <c r="B121" t="n">
        <v>54707</v>
      </c>
      <c r="C121" t="n">
        <v>31368</v>
      </c>
      <c r="D121" t="n">
        <v>23339</v>
      </c>
      <c r="E121" t="n">
        <v>12079</v>
      </c>
      <c r="F121" t="n">
        <v>3997</v>
      </c>
      <c r="G121" t="n">
        <v>4116</v>
      </c>
      <c r="H121" t="n">
        <v>3147</v>
      </c>
    </row>
    <row r="122">
      <c r="A122" t="inlineStr">
        <is>
          <t>Tripura</t>
        </is>
      </c>
      <c r="B122" t="n">
        <v>2874</v>
      </c>
      <c r="C122" t="n">
        <v>2344</v>
      </c>
      <c r="D122" t="n">
        <v>530</v>
      </c>
      <c r="E122" t="n">
        <v>258</v>
      </c>
      <c r="F122" t="n">
        <v>75</v>
      </c>
      <c r="G122" t="n">
        <v>90</v>
      </c>
      <c r="H122" t="n">
        <v>107</v>
      </c>
    </row>
    <row r="123">
      <c r="A123" t="inlineStr">
        <is>
          <t>Uttarakhand</t>
        </is>
      </c>
      <c r="B123" t="n">
        <v>41264</v>
      </c>
      <c r="C123" t="n">
        <v>2418</v>
      </c>
      <c r="D123" t="n">
        <v>38846</v>
      </c>
      <c r="E123" t="n">
        <v>27303</v>
      </c>
      <c r="F123" t="n">
        <v>4560</v>
      </c>
      <c r="G123" t="n">
        <v>4466</v>
      </c>
      <c r="H123" t="n">
        <v>2517</v>
      </c>
    </row>
    <row r="124">
      <c r="A124" t="inlineStr">
        <is>
          <t>Uttar Pradesh</t>
        </is>
      </c>
      <c r="B124" t="n">
        <v>547042</v>
      </c>
      <c r="C124" t="n">
        <v>437024</v>
      </c>
      <c r="D124" t="n">
        <v>110018</v>
      </c>
      <c r="E124" t="n">
        <v>64002</v>
      </c>
      <c r="F124" t="n">
        <v>2209</v>
      </c>
      <c r="G124" t="n">
        <v>6001</v>
      </c>
      <c r="H124" t="n">
        <v>37806</v>
      </c>
    </row>
    <row r="125">
      <c r="A125" t="inlineStr">
        <is>
          <t>West Bengal</t>
        </is>
      </c>
      <c r="B125" t="n">
        <v>44515</v>
      </c>
      <c r="C125" t="n">
        <v>1035</v>
      </c>
      <c r="D125" t="n">
        <v>43480</v>
      </c>
      <c r="E125" t="n">
        <v>29074</v>
      </c>
      <c r="F125" t="n">
        <v>5579</v>
      </c>
      <c r="G125" t="n">
        <v>5625</v>
      </c>
      <c r="H125" t="n">
        <v>3202</v>
      </c>
    </row>
    <row r="127">
      <c r="A127" s="2" t="inlineStr">
        <is>
          <t>Source</t>
        </is>
      </c>
      <c r="B127" t="inlineStr">
        <is>
          <t>Department of Administrative Reforms and Public Grievances (DARPG), Government of India, OGD Platform India.</t>
        </is>
      </c>
    </row>
    <row r="128">
      <c r="B128" t="inlineStr">
        <is>
          <t>Dataset: Department-wise receipts, disposal and pendency of Public Grievance detailed statistics.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2" customWidth="1" min="4" max="4"/>
    <col width="26" customWidth="1" min="5" max="5"/>
    <col width="32" customWidth="1" min="6" max="6"/>
    <col width="31" customWidth="1" min="7" max="7"/>
    <col width="28" customWidth="1" min="8" max="8"/>
    <col width="29" customWidth="1" min="9" max="9"/>
    <col width="29" customWidth="1" min="10" max="10"/>
  </cols>
  <sheetData>
    <row r="1">
      <c r="A1" s="1" t="inlineStr">
        <is>
          <t>Ministry/Department/State</t>
        </is>
      </c>
      <c r="B1" s="1" t="inlineStr">
        <is>
          <t>Total Receipts (01.01.2016 to 01.11.2019)</t>
        </is>
      </c>
      <c r="C1" s="1" t="inlineStr">
        <is>
          <t>Total Disposal (01.01.2016 to 01.11.2019)</t>
        </is>
      </c>
      <c r="D1" s="1" t="inlineStr">
        <is>
          <t>Total Pending as on 01.11.2019</t>
        </is>
      </c>
      <c r="E1" s="1" t="inlineStr">
        <is>
          <t>Pending More Than 1 Year</t>
        </is>
      </c>
      <c r="F1" s="1" t="inlineStr">
        <is>
          <t>Pending Between 6 To 12 Months</t>
        </is>
      </c>
      <c r="G1" s="1" t="inlineStr">
        <is>
          <t>Pending Between 2 To 6 Months</t>
        </is>
      </c>
      <c r="H1" s="1" t="inlineStr">
        <is>
          <t>Pending Less Than 2 Months</t>
        </is>
      </c>
      <c r="I1" s="1" t="inlineStr">
        <is>
          <t>Disposal Rate (%)</t>
        </is>
      </c>
      <c r="J1" s="1" t="inlineStr">
        <is>
          <t>Pending Rate (%)</t>
        </is>
      </c>
    </row>
    <row r="2">
      <c r="A2" t="inlineStr">
        <is>
          <t>Administrative Reforms and PG</t>
        </is>
      </c>
      <c r="B2" t="n">
        <v>1540</v>
      </c>
      <c r="C2" t="n">
        <v>1497</v>
      </c>
      <c r="D2" t="n">
        <v>43</v>
      </c>
      <c r="E2" t="n">
        <v>0</v>
      </c>
      <c r="F2" t="n">
        <v>0</v>
      </c>
      <c r="G2" t="n">
        <v>1</v>
      </c>
      <c r="H2" t="n">
        <v>42</v>
      </c>
      <c r="I2" s="3">
        <f>IFERROR((C2/B2)*100,0)</f>
        <v/>
      </c>
      <c r="J2" s="3">
        <f>IFERROR((D2/B2)*100,0)</f>
        <v/>
      </c>
    </row>
    <row r="3">
      <c r="A3" t="inlineStr">
        <is>
          <t>Agriculture and Cooperation</t>
        </is>
      </c>
      <c r="B3" t="n">
        <v>21317</v>
      </c>
      <c r="C3" t="n">
        <v>20557</v>
      </c>
      <c r="D3" t="n">
        <v>760</v>
      </c>
      <c r="E3" t="n">
        <v>7</v>
      </c>
      <c r="F3" t="n">
        <v>21</v>
      </c>
      <c r="G3" t="n">
        <v>141</v>
      </c>
      <c r="H3" t="n">
        <v>591</v>
      </c>
      <c r="I3" s="3">
        <f>IFERROR((C3/B3)*100,0)</f>
        <v/>
      </c>
      <c r="J3" s="3">
        <f>IFERROR((D3/B3)*100,0)</f>
        <v/>
      </c>
    </row>
    <row r="4">
      <c r="A4" t="inlineStr">
        <is>
          <t>Agriculture Research and Education</t>
        </is>
      </c>
      <c r="B4" t="n">
        <v>6535</v>
      </c>
      <c r="C4" t="n">
        <v>6245</v>
      </c>
      <c r="D4" t="n">
        <v>290</v>
      </c>
      <c r="E4" t="n">
        <v>0</v>
      </c>
      <c r="F4" t="n">
        <v>31</v>
      </c>
      <c r="G4" t="n">
        <v>65</v>
      </c>
      <c r="H4" t="n">
        <v>194</v>
      </c>
      <c r="I4" s="3">
        <f>IFERROR((C4/B4)*100,0)</f>
        <v/>
      </c>
      <c r="J4" s="3">
        <f>IFERROR((D4/B4)*100,0)</f>
        <v/>
      </c>
    </row>
    <row r="5">
      <c r="A5" t="inlineStr">
        <is>
          <t>Animal Husbandry, Dairying</t>
        </is>
      </c>
      <c r="B5" t="n">
        <v>4835</v>
      </c>
      <c r="C5" t="n">
        <v>4702</v>
      </c>
      <c r="D5" t="n">
        <v>133</v>
      </c>
      <c r="E5" t="n">
        <v>12</v>
      </c>
      <c r="F5" t="n">
        <v>16</v>
      </c>
      <c r="G5" t="n">
        <v>28</v>
      </c>
      <c r="H5" t="n">
        <v>77</v>
      </c>
      <c r="I5" s="3">
        <f>IFERROR((C5/B5)*100,0)</f>
        <v/>
      </c>
      <c r="J5" s="3">
        <f>IFERROR((D5/B5)*100,0)</f>
        <v/>
      </c>
    </row>
    <row r="6">
      <c r="A6" t="inlineStr">
        <is>
          <t>Atomic Energy</t>
        </is>
      </c>
      <c r="B6" t="n">
        <v>5838</v>
      </c>
      <c r="C6" t="n">
        <v>5279</v>
      </c>
      <c r="D6" t="n">
        <v>559</v>
      </c>
      <c r="E6" t="n">
        <v>346</v>
      </c>
      <c r="F6" t="n">
        <v>73</v>
      </c>
      <c r="G6" t="n">
        <v>59</v>
      </c>
      <c r="H6" t="n">
        <v>81</v>
      </c>
      <c r="I6" s="3">
        <f>IFERROR((C6/B6)*100,0)</f>
        <v/>
      </c>
      <c r="J6" s="3">
        <f>IFERROR((D6/B6)*100,0)</f>
        <v/>
      </c>
    </row>
    <row r="7">
      <c r="A7" t="inlineStr">
        <is>
          <t>Ayush</t>
        </is>
      </c>
      <c r="B7" t="n">
        <v>9221</v>
      </c>
      <c r="C7" t="n">
        <v>9003</v>
      </c>
      <c r="D7" t="n">
        <v>218</v>
      </c>
      <c r="E7" t="n">
        <v>0</v>
      </c>
      <c r="F7" t="n">
        <v>9</v>
      </c>
      <c r="G7" t="n">
        <v>76</v>
      </c>
      <c r="H7" t="n">
        <v>133</v>
      </c>
      <c r="I7" s="3">
        <f>IFERROR((C7/B7)*100,0)</f>
        <v/>
      </c>
      <c r="J7" s="3">
        <f>IFERROR((D7/B7)*100,0)</f>
        <v/>
      </c>
    </row>
    <row r="8">
      <c r="A8" t="inlineStr">
        <is>
          <t>Bio Technology</t>
        </is>
      </c>
      <c r="B8" t="n">
        <v>959</v>
      </c>
      <c r="C8" t="n">
        <v>906</v>
      </c>
      <c r="D8" t="n">
        <v>53</v>
      </c>
      <c r="E8" t="n">
        <v>19</v>
      </c>
      <c r="F8" t="n">
        <v>11</v>
      </c>
      <c r="G8" t="n">
        <v>10</v>
      </c>
      <c r="H8" t="n">
        <v>13</v>
      </c>
      <c r="I8" s="3">
        <f>IFERROR((C8/B8)*100,0)</f>
        <v/>
      </c>
      <c r="J8" s="3">
        <f>IFERROR((D8/B8)*100,0)</f>
        <v/>
      </c>
    </row>
    <row r="9">
      <c r="A9" t="inlineStr">
        <is>
          <t>Central Board of Direct Taxes (Income Tax)</t>
        </is>
      </c>
      <c r="B9" t="n">
        <v>140684</v>
      </c>
      <c r="C9" t="n">
        <v>138030</v>
      </c>
      <c r="D9" t="n">
        <v>2654</v>
      </c>
      <c r="E9" t="n">
        <v>0</v>
      </c>
      <c r="F9" t="n">
        <v>25</v>
      </c>
      <c r="G9" t="n">
        <v>623</v>
      </c>
      <c r="H9" t="n">
        <v>2006</v>
      </c>
      <c r="I9" s="3">
        <f>IFERROR((C9/B9)*100,0)</f>
        <v/>
      </c>
      <c r="J9" s="3">
        <f>IFERROR((D9/B9)*100,0)</f>
        <v/>
      </c>
    </row>
    <row r="10">
      <c r="A10" t="inlineStr">
        <is>
          <t>Central Board of Excise and Customs</t>
        </is>
      </c>
      <c r="B10" t="n">
        <v>64611</v>
      </c>
      <c r="C10" t="n">
        <v>63682</v>
      </c>
      <c r="D10" t="n">
        <v>929</v>
      </c>
      <c r="E10" t="n">
        <v>1</v>
      </c>
      <c r="F10" t="n">
        <v>4</v>
      </c>
      <c r="G10" t="n">
        <v>66</v>
      </c>
      <c r="H10" t="n">
        <v>858</v>
      </c>
      <c r="I10" s="3">
        <f>IFERROR((C10/B10)*100,0)</f>
        <v/>
      </c>
      <c r="J10" s="3">
        <f>IFERROR((D10/B10)*100,0)</f>
        <v/>
      </c>
    </row>
    <row r="11">
      <c r="A11" t="inlineStr">
        <is>
          <t>Chemicals and Petrochemicals</t>
        </is>
      </c>
      <c r="B11" t="n">
        <v>2100</v>
      </c>
      <c r="C11" t="n">
        <v>2083</v>
      </c>
      <c r="D11" t="n">
        <v>17</v>
      </c>
      <c r="E11" t="n">
        <v>0</v>
      </c>
      <c r="F11" t="n">
        <v>1</v>
      </c>
      <c r="G11" t="n">
        <v>1</v>
      </c>
      <c r="H11" t="n">
        <v>15</v>
      </c>
      <c r="I11" s="3">
        <f>IFERROR((C11/B11)*100,0)</f>
        <v/>
      </c>
      <c r="J11" s="3">
        <f>IFERROR((D11/B11)*100,0)</f>
        <v/>
      </c>
    </row>
    <row r="12">
      <c r="A12" t="inlineStr">
        <is>
          <t>Civil Aviation</t>
        </is>
      </c>
      <c r="B12" t="n">
        <v>22937</v>
      </c>
      <c r="C12" t="n">
        <v>22419</v>
      </c>
      <c r="D12" t="n">
        <v>518</v>
      </c>
      <c r="E12" t="n">
        <v>6</v>
      </c>
      <c r="F12" t="n">
        <v>38</v>
      </c>
      <c r="G12" t="n">
        <v>175</v>
      </c>
      <c r="H12" t="n">
        <v>299</v>
      </c>
      <c r="I12" s="3">
        <f>IFERROR((C12/B12)*100,0)</f>
        <v/>
      </c>
      <c r="J12" s="3">
        <f>IFERROR((D12/B12)*100,0)</f>
        <v/>
      </c>
    </row>
    <row r="13">
      <c r="A13" t="inlineStr">
        <is>
          <t>Coal</t>
        </is>
      </c>
      <c r="B13" t="n">
        <v>18391</v>
      </c>
      <c r="C13" t="n">
        <v>17597</v>
      </c>
      <c r="D13" t="n">
        <v>794</v>
      </c>
      <c r="E13" t="n">
        <v>139</v>
      </c>
      <c r="F13" t="n">
        <v>133</v>
      </c>
      <c r="G13" t="n">
        <v>171</v>
      </c>
      <c r="H13" t="n">
        <v>351</v>
      </c>
      <c r="I13" s="3">
        <f>IFERROR((C13/B13)*100,0)</f>
        <v/>
      </c>
      <c r="J13" s="3">
        <f>IFERROR((D13/B13)*100,0)</f>
        <v/>
      </c>
    </row>
    <row r="14">
      <c r="A14" t="inlineStr">
        <is>
          <t>Commerce</t>
        </is>
      </c>
      <c r="B14" t="n">
        <v>15401</v>
      </c>
      <c r="C14" t="n">
        <v>15121</v>
      </c>
      <c r="D14" t="n">
        <v>280</v>
      </c>
      <c r="E14" t="n">
        <v>5</v>
      </c>
      <c r="F14" t="n">
        <v>3</v>
      </c>
      <c r="G14" t="n">
        <v>36</v>
      </c>
      <c r="H14" t="n">
        <v>236</v>
      </c>
      <c r="I14" s="3">
        <f>IFERROR((C14/B14)*100,0)</f>
        <v/>
      </c>
      <c r="J14" s="3">
        <f>IFERROR((D14/B14)*100,0)</f>
        <v/>
      </c>
    </row>
    <row r="15">
      <c r="A15" t="inlineStr">
        <is>
          <t>Consumer Affairs</t>
        </is>
      </c>
      <c r="B15" t="n">
        <v>31680</v>
      </c>
      <c r="C15" t="n">
        <v>30930</v>
      </c>
      <c r="D15" t="n">
        <v>750</v>
      </c>
      <c r="E15" t="n">
        <v>1</v>
      </c>
      <c r="F15" t="n">
        <v>0</v>
      </c>
      <c r="G15" t="n">
        <v>9</v>
      </c>
      <c r="H15" t="n">
        <v>740</v>
      </c>
      <c r="I15" s="3">
        <f>IFERROR((C15/B15)*100,0)</f>
        <v/>
      </c>
      <c r="J15" s="3">
        <f>IFERROR((D15/B15)*100,0)</f>
        <v/>
      </c>
    </row>
    <row r="16">
      <c r="A16" t="inlineStr">
        <is>
          <t>Corporate Affairs</t>
        </is>
      </c>
      <c r="B16" t="n">
        <v>31700</v>
      </c>
      <c r="C16" t="n">
        <v>30973</v>
      </c>
      <c r="D16" t="n">
        <v>727</v>
      </c>
      <c r="E16" t="n">
        <v>57</v>
      </c>
      <c r="F16" t="n">
        <v>85</v>
      </c>
      <c r="G16" t="n">
        <v>211</v>
      </c>
      <c r="H16" t="n">
        <v>374</v>
      </c>
      <c r="I16" s="3">
        <f>IFERROR((C16/B16)*100,0)</f>
        <v/>
      </c>
      <c r="J16" s="3">
        <f>IFERROR((D16/B16)*100,0)</f>
        <v/>
      </c>
    </row>
    <row r="17">
      <c r="A17" t="inlineStr">
        <is>
          <t>Culture</t>
        </is>
      </c>
      <c r="B17" t="n">
        <v>7814</v>
      </c>
      <c r="C17" t="n">
        <v>7318</v>
      </c>
      <c r="D17" t="n">
        <v>496</v>
      </c>
      <c r="E17" t="n">
        <v>41</v>
      </c>
      <c r="F17" t="n">
        <v>105</v>
      </c>
      <c r="G17" t="n">
        <v>146</v>
      </c>
      <c r="H17" t="n">
        <v>204</v>
      </c>
      <c r="I17" s="3">
        <f>IFERROR((C17/B17)*100,0)</f>
        <v/>
      </c>
      <c r="J17" s="3">
        <f>IFERROR((D17/B17)*100,0)</f>
        <v/>
      </c>
    </row>
    <row r="18">
      <c r="A18" t="inlineStr">
        <is>
          <t>Defence</t>
        </is>
      </c>
      <c r="B18" t="n">
        <v>57343</v>
      </c>
      <c r="C18" t="n">
        <v>54485</v>
      </c>
      <c r="D18" t="n">
        <v>2858</v>
      </c>
      <c r="E18" t="n">
        <v>113</v>
      </c>
      <c r="F18" t="n">
        <v>453</v>
      </c>
      <c r="G18" t="n">
        <v>947</v>
      </c>
      <c r="H18" t="n">
        <v>1345</v>
      </c>
      <c r="I18" s="3">
        <f>IFERROR((C18/B18)*100,0)</f>
        <v/>
      </c>
      <c r="J18" s="3">
        <f>IFERROR((D18/B18)*100,0)</f>
        <v/>
      </c>
    </row>
    <row r="19">
      <c r="A19" t="inlineStr">
        <is>
          <t>Defence Finance</t>
        </is>
      </c>
      <c r="B19" t="n">
        <v>28350</v>
      </c>
      <c r="C19" t="n">
        <v>27040</v>
      </c>
      <c r="D19" t="n">
        <v>1310</v>
      </c>
      <c r="E19" t="n">
        <v>0</v>
      </c>
      <c r="F19" t="n">
        <v>12</v>
      </c>
      <c r="G19" t="n">
        <v>188</v>
      </c>
      <c r="H19" t="n">
        <v>1110</v>
      </c>
      <c r="I19" s="3">
        <f>IFERROR((C19/B19)*100,0)</f>
        <v/>
      </c>
      <c r="J19" s="3">
        <f>IFERROR((D19/B19)*100,0)</f>
        <v/>
      </c>
    </row>
    <row r="20">
      <c r="A20" t="inlineStr">
        <is>
          <t>Defence Production</t>
        </is>
      </c>
      <c r="B20" t="n">
        <v>9261</v>
      </c>
      <c r="C20" t="n">
        <v>9179</v>
      </c>
      <c r="D20" t="n">
        <v>82</v>
      </c>
      <c r="E20" t="n">
        <v>0</v>
      </c>
      <c r="F20" t="n">
        <v>0</v>
      </c>
      <c r="G20" t="n">
        <v>1</v>
      </c>
      <c r="H20" t="n">
        <v>81</v>
      </c>
      <c r="I20" s="3">
        <f>IFERROR((C20/B20)*100,0)</f>
        <v/>
      </c>
      <c r="J20" s="3">
        <f>IFERROR((D20/B20)*100,0)</f>
        <v/>
      </c>
    </row>
    <row r="21">
      <c r="A21" t="inlineStr">
        <is>
          <t>Defence Research and Development</t>
        </is>
      </c>
      <c r="B21" t="n">
        <v>3102</v>
      </c>
      <c r="C21" t="n">
        <v>3088</v>
      </c>
      <c r="D21" t="n">
        <v>14</v>
      </c>
      <c r="E21" t="n">
        <v>0</v>
      </c>
      <c r="F21" t="n">
        <v>0</v>
      </c>
      <c r="G21" t="n">
        <v>0</v>
      </c>
      <c r="H21" t="n">
        <v>14</v>
      </c>
      <c r="I21" s="3">
        <f>IFERROR((C21/B21)*100,0)</f>
        <v/>
      </c>
      <c r="J21" s="3">
        <f>IFERROR((D21/B21)*100,0)</f>
        <v/>
      </c>
    </row>
    <row r="22">
      <c r="A22" t="inlineStr">
        <is>
          <t>Development of North Eastern Region</t>
        </is>
      </c>
      <c r="B22" t="n">
        <v>1055</v>
      </c>
      <c r="C22" t="n">
        <v>1037</v>
      </c>
      <c r="D22" t="n">
        <v>18</v>
      </c>
      <c r="E22" t="n">
        <v>1</v>
      </c>
      <c r="F22" t="n">
        <v>4</v>
      </c>
      <c r="G22" t="n">
        <v>5</v>
      </c>
      <c r="H22" t="n">
        <v>8</v>
      </c>
      <c r="I22" s="3">
        <f>IFERROR((C22/B22)*100,0)</f>
        <v/>
      </c>
      <c r="J22" s="3">
        <f>IFERROR((D22/B22)*100,0)</f>
        <v/>
      </c>
    </row>
    <row r="23">
      <c r="A23" t="inlineStr">
        <is>
          <t>Drinking Water and Sanitation</t>
        </is>
      </c>
      <c r="B23" t="n">
        <v>9499</v>
      </c>
      <c r="C23" t="n">
        <v>8958</v>
      </c>
      <c r="D23" t="n">
        <v>541</v>
      </c>
      <c r="E23" t="n">
        <v>36</v>
      </c>
      <c r="F23" t="n">
        <v>195</v>
      </c>
      <c r="G23" t="n">
        <v>93</v>
      </c>
      <c r="H23" t="n">
        <v>217</v>
      </c>
      <c r="I23" s="3">
        <f>IFERROR((C23/B23)*100,0)</f>
        <v/>
      </c>
      <c r="J23" s="3">
        <f>IFERROR((D23/B23)*100,0)</f>
        <v/>
      </c>
    </row>
    <row r="24">
      <c r="A24" t="inlineStr">
        <is>
          <t>Earth Sciences</t>
        </is>
      </c>
      <c r="B24" t="n">
        <v>1904</v>
      </c>
      <c r="C24" t="n">
        <v>1884</v>
      </c>
      <c r="D24" t="n">
        <v>20</v>
      </c>
      <c r="E24" t="n">
        <v>0</v>
      </c>
      <c r="F24" t="n">
        <v>0</v>
      </c>
      <c r="G24" t="n">
        <v>5</v>
      </c>
      <c r="H24" t="n">
        <v>15</v>
      </c>
      <c r="I24" s="3">
        <f>IFERROR((C24/B24)*100,0)</f>
        <v/>
      </c>
      <c r="J24" s="3">
        <f>IFERROR((D24/B24)*100,0)</f>
        <v/>
      </c>
    </row>
    <row r="25">
      <c r="A25" t="inlineStr">
        <is>
          <t>Economic Affairs</t>
        </is>
      </c>
      <c r="B25" t="n">
        <v>16812</v>
      </c>
      <c r="C25" t="n">
        <v>16653</v>
      </c>
      <c r="D25" t="n">
        <v>159</v>
      </c>
      <c r="E25" t="n">
        <v>6</v>
      </c>
      <c r="F25" t="n">
        <v>4</v>
      </c>
      <c r="G25" t="n">
        <v>46</v>
      </c>
      <c r="H25" t="n">
        <v>103</v>
      </c>
      <c r="I25" s="3">
        <f>IFERROR((C25/B25)*100,0)</f>
        <v/>
      </c>
      <c r="J25" s="3">
        <f>IFERROR((D25/B25)*100,0)</f>
        <v/>
      </c>
    </row>
    <row r="26">
      <c r="A26" t="inlineStr">
        <is>
          <t>Electronics &amp; Information Technology</t>
        </is>
      </c>
      <c r="B26" t="n">
        <v>24094</v>
      </c>
      <c r="C26" t="n">
        <v>23549</v>
      </c>
      <c r="D26" t="n">
        <v>545</v>
      </c>
      <c r="E26" t="n">
        <v>6</v>
      </c>
      <c r="F26" t="n">
        <v>6</v>
      </c>
      <c r="G26" t="n">
        <v>64</v>
      </c>
      <c r="H26" t="n">
        <v>469</v>
      </c>
      <c r="I26" s="3">
        <f>IFERROR((C26/B26)*100,0)</f>
        <v/>
      </c>
      <c r="J26" s="3">
        <f>IFERROR((D26/B26)*100,0)</f>
        <v/>
      </c>
    </row>
    <row r="27">
      <c r="A27" t="inlineStr">
        <is>
          <t>Empowerment of Persons with Disabilities</t>
        </is>
      </c>
      <c r="B27" t="n">
        <v>9384</v>
      </c>
      <c r="C27" t="n">
        <v>9284</v>
      </c>
      <c r="D27" t="n">
        <v>100</v>
      </c>
      <c r="E27" t="n">
        <v>0</v>
      </c>
      <c r="F27" t="n">
        <v>0</v>
      </c>
      <c r="G27" t="n">
        <v>1</v>
      </c>
      <c r="H27" t="n">
        <v>99</v>
      </c>
      <c r="I27" s="3">
        <f>IFERROR((C27/B27)*100,0)</f>
        <v/>
      </c>
      <c r="J27" s="3">
        <f>IFERROR((D27/B27)*100,0)</f>
        <v/>
      </c>
    </row>
    <row r="28">
      <c r="A28" t="inlineStr">
        <is>
          <t>Environment, Forest and Climate Change</t>
        </is>
      </c>
      <c r="B28" t="n">
        <v>23927</v>
      </c>
      <c r="C28" t="n">
        <v>23541</v>
      </c>
      <c r="D28" t="n">
        <v>386</v>
      </c>
      <c r="E28" t="n">
        <v>4</v>
      </c>
      <c r="F28" t="n">
        <v>23</v>
      </c>
      <c r="G28" t="n">
        <v>90</v>
      </c>
      <c r="H28" t="n">
        <v>269</v>
      </c>
      <c r="I28" s="3">
        <f>IFERROR((C28/B28)*100,0)</f>
        <v/>
      </c>
      <c r="J28" s="3">
        <f>IFERROR((D28/B28)*100,0)</f>
        <v/>
      </c>
    </row>
    <row r="29">
      <c r="A29" t="inlineStr">
        <is>
          <t>Ex Servicemen Welfare</t>
        </is>
      </c>
      <c r="B29" t="n">
        <v>24320</v>
      </c>
      <c r="C29" t="n">
        <v>24033</v>
      </c>
      <c r="D29" t="n">
        <v>287</v>
      </c>
      <c r="E29" t="n">
        <v>0</v>
      </c>
      <c r="F29" t="n">
        <v>0</v>
      </c>
      <c r="G29" t="n">
        <v>3</v>
      </c>
      <c r="H29" t="n">
        <v>284</v>
      </c>
      <c r="I29" s="3">
        <f>IFERROR((C29/B29)*100,0)</f>
        <v/>
      </c>
      <c r="J29" s="3">
        <f>IFERROR((D29/B29)*100,0)</f>
        <v/>
      </c>
    </row>
    <row r="30">
      <c r="A30" t="inlineStr">
        <is>
          <t>Expenditure</t>
        </is>
      </c>
      <c r="B30" t="n">
        <v>12958</v>
      </c>
      <c r="C30" t="n">
        <v>12910</v>
      </c>
      <c r="D30" t="n">
        <v>48</v>
      </c>
      <c r="E30" t="n">
        <v>0</v>
      </c>
      <c r="F30" t="n">
        <v>0</v>
      </c>
      <c r="G30" t="n">
        <v>1</v>
      </c>
      <c r="H30" t="n">
        <v>47</v>
      </c>
      <c r="I30" s="3">
        <f>IFERROR((C30/B30)*100,0)</f>
        <v/>
      </c>
      <c r="J30" s="3">
        <f>IFERROR((D30/B30)*100,0)</f>
        <v/>
      </c>
    </row>
    <row r="31">
      <c r="A31" t="inlineStr">
        <is>
          <t>External Affairs</t>
        </is>
      </c>
      <c r="B31" t="n">
        <v>45391</v>
      </c>
      <c r="C31" t="n">
        <v>44849</v>
      </c>
      <c r="D31" t="n">
        <v>542</v>
      </c>
      <c r="E31" t="n">
        <v>0</v>
      </c>
      <c r="F31" t="n">
        <v>0</v>
      </c>
      <c r="G31" t="n">
        <v>5</v>
      </c>
      <c r="H31" t="n">
        <v>537</v>
      </c>
      <c r="I31" s="3">
        <f>IFERROR((C31/B31)*100,0)</f>
        <v/>
      </c>
      <c r="J31" s="3">
        <f>IFERROR((D31/B31)*100,0)</f>
        <v/>
      </c>
    </row>
    <row r="32">
      <c r="A32" t="inlineStr">
        <is>
          <t>Fertilizers</t>
        </is>
      </c>
      <c r="B32" t="n">
        <v>1883</v>
      </c>
      <c r="C32" t="n">
        <v>1848</v>
      </c>
      <c r="D32" t="n">
        <v>35</v>
      </c>
      <c r="E32" t="n">
        <v>0</v>
      </c>
      <c r="F32" t="n">
        <v>0</v>
      </c>
      <c r="G32" t="n">
        <v>12</v>
      </c>
      <c r="H32" t="n">
        <v>23</v>
      </c>
      <c r="I32" s="3">
        <f>IFERROR((C32/B32)*100,0)</f>
        <v/>
      </c>
      <c r="J32" s="3">
        <f>IFERROR((D32/B32)*100,0)</f>
        <v/>
      </c>
    </row>
    <row r="33">
      <c r="A33" t="inlineStr">
        <is>
          <t>Financial Services (Banking Division)</t>
        </is>
      </c>
      <c r="B33" t="n">
        <v>391784</v>
      </c>
      <c r="C33" t="n">
        <v>383904</v>
      </c>
      <c r="D33" t="n">
        <v>7880</v>
      </c>
      <c r="E33" t="n">
        <v>79</v>
      </c>
      <c r="F33" t="n">
        <v>103</v>
      </c>
      <c r="G33" t="n">
        <v>749</v>
      </c>
      <c r="H33" t="n">
        <v>6949</v>
      </c>
      <c r="I33" s="3">
        <f>IFERROR((C33/B33)*100,0)</f>
        <v/>
      </c>
      <c r="J33" s="3">
        <f>IFERROR((D33/B33)*100,0)</f>
        <v/>
      </c>
    </row>
    <row r="34">
      <c r="A34" t="inlineStr">
        <is>
          <t>Financial Services (Insurance Division)</t>
        </is>
      </c>
      <c r="B34" t="n">
        <v>43724</v>
      </c>
      <c r="C34" t="n">
        <v>42733</v>
      </c>
      <c r="D34" t="n">
        <v>991</v>
      </c>
      <c r="E34" t="n">
        <v>10</v>
      </c>
      <c r="F34" t="n">
        <v>1</v>
      </c>
      <c r="G34" t="n">
        <v>58</v>
      </c>
      <c r="H34" t="n">
        <v>922</v>
      </c>
      <c r="I34" s="3">
        <f>IFERROR((C34/B34)*100,0)</f>
        <v/>
      </c>
      <c r="J34" s="3">
        <f>IFERROR((D34/B34)*100,0)</f>
        <v/>
      </c>
    </row>
    <row r="35">
      <c r="A35" t="inlineStr">
        <is>
          <t>Financial Services (Pension Reforms)</t>
        </is>
      </c>
      <c r="B35" t="n">
        <v>2302</v>
      </c>
      <c r="C35" t="n">
        <v>2257</v>
      </c>
      <c r="D35" t="n">
        <v>45</v>
      </c>
      <c r="E35" t="n">
        <v>0</v>
      </c>
      <c r="F35" t="n">
        <v>0</v>
      </c>
      <c r="G35" t="n">
        <v>3</v>
      </c>
      <c r="H35" t="n">
        <v>42</v>
      </c>
      <c r="I35" s="3">
        <f>IFERROR((C35/B35)*100,0)</f>
        <v/>
      </c>
      <c r="J35" s="3">
        <f>IFERROR((D35/B35)*100,0)</f>
        <v/>
      </c>
    </row>
    <row r="36">
      <c r="A36" t="inlineStr">
        <is>
          <t>Fisheries</t>
        </is>
      </c>
      <c r="B36" t="n">
        <v>77</v>
      </c>
      <c r="C36" t="n">
        <v>71</v>
      </c>
      <c r="D36" t="n">
        <v>6</v>
      </c>
      <c r="E36" t="n">
        <v>0</v>
      </c>
      <c r="F36" t="n">
        <v>0</v>
      </c>
      <c r="G36" t="n">
        <v>0</v>
      </c>
      <c r="H36" t="n">
        <v>6</v>
      </c>
      <c r="I36" s="3">
        <f>IFERROR((C36/B36)*100,0)</f>
        <v/>
      </c>
      <c r="J36" s="3">
        <f>IFERROR((D36/B36)*100,0)</f>
        <v/>
      </c>
    </row>
    <row r="37">
      <c r="A37" t="inlineStr">
        <is>
          <t>Food and Public Distribution</t>
        </is>
      </c>
      <c r="B37" t="n">
        <v>14439</v>
      </c>
      <c r="C37" t="n">
        <v>14269</v>
      </c>
      <c r="D37" t="n">
        <v>170</v>
      </c>
      <c r="E37" t="n">
        <v>0</v>
      </c>
      <c r="F37" t="n">
        <v>0</v>
      </c>
      <c r="G37" t="n">
        <v>4</v>
      </c>
      <c r="H37" t="n">
        <v>166</v>
      </c>
      <c r="I37" s="3">
        <f>IFERROR((C37/B37)*100,0)</f>
        <v/>
      </c>
      <c r="J37" s="3">
        <f>IFERROR((D37/B37)*100,0)</f>
        <v/>
      </c>
    </row>
    <row r="38">
      <c r="A38" t="inlineStr">
        <is>
          <t>Food Processing Industries</t>
        </is>
      </c>
      <c r="B38" t="n">
        <v>1928</v>
      </c>
      <c r="C38" t="n">
        <v>1918</v>
      </c>
      <c r="D38" t="n">
        <v>10</v>
      </c>
      <c r="E38" t="n">
        <v>0</v>
      </c>
      <c r="F38" t="n">
        <v>0</v>
      </c>
      <c r="G38" t="n">
        <v>2</v>
      </c>
      <c r="H38" t="n">
        <v>8</v>
      </c>
      <c r="I38" s="3">
        <f>IFERROR((C38/B38)*100,0)</f>
        <v/>
      </c>
      <c r="J38" s="3">
        <f>IFERROR((D38/B38)*100,0)</f>
        <v/>
      </c>
    </row>
    <row r="39">
      <c r="A39" t="inlineStr">
        <is>
          <t>Health &amp; Family Welfare</t>
        </is>
      </c>
      <c r="B39" t="n">
        <v>82641</v>
      </c>
      <c r="C39" t="n">
        <v>81522</v>
      </c>
      <c r="D39" t="n">
        <v>1119</v>
      </c>
      <c r="E39" t="n">
        <v>13</v>
      </c>
      <c r="F39" t="n">
        <v>9</v>
      </c>
      <c r="G39" t="n">
        <v>130</v>
      </c>
      <c r="H39" t="n">
        <v>967</v>
      </c>
      <c r="I39" s="3">
        <f>IFERROR((C39/B39)*100,0)</f>
        <v/>
      </c>
      <c r="J39" s="3">
        <f>IFERROR((D39/B39)*100,0)</f>
        <v/>
      </c>
    </row>
    <row r="40">
      <c r="A40" t="inlineStr">
        <is>
          <t>Health Research</t>
        </is>
      </c>
      <c r="B40" t="n">
        <v>3486</v>
      </c>
      <c r="C40" t="n">
        <v>3300</v>
      </c>
      <c r="D40" t="n">
        <v>186</v>
      </c>
      <c r="E40" t="n">
        <v>46</v>
      </c>
      <c r="F40" t="n">
        <v>37</v>
      </c>
      <c r="G40" t="n">
        <v>47</v>
      </c>
      <c r="H40" t="n">
        <v>56</v>
      </c>
      <c r="I40" s="3">
        <f>IFERROR((C40/B40)*100,0)</f>
        <v/>
      </c>
      <c r="J40" s="3">
        <f>IFERROR((D40/B40)*100,0)</f>
        <v/>
      </c>
    </row>
    <row r="41">
      <c r="A41" t="inlineStr">
        <is>
          <t>Heavy Industry</t>
        </is>
      </c>
      <c r="B41" t="n">
        <v>5917</v>
      </c>
      <c r="C41" t="n">
        <v>5864</v>
      </c>
      <c r="D41" t="n">
        <v>53</v>
      </c>
      <c r="E41" t="n">
        <v>0</v>
      </c>
      <c r="F41" t="n">
        <v>0</v>
      </c>
      <c r="G41" t="n">
        <v>0</v>
      </c>
      <c r="H41" t="n">
        <v>53</v>
      </c>
      <c r="I41" s="3">
        <f>IFERROR((C41/B41)*100,0)</f>
        <v/>
      </c>
      <c r="J41" s="3">
        <f>IFERROR((D41/B41)*100,0)</f>
        <v/>
      </c>
    </row>
    <row r="42">
      <c r="A42" t="inlineStr">
        <is>
          <t>Higher Education</t>
        </is>
      </c>
      <c r="B42" t="n">
        <v>89600</v>
      </c>
      <c r="C42" t="n">
        <v>87581</v>
      </c>
      <c r="D42" t="n">
        <v>2019</v>
      </c>
      <c r="E42" t="n">
        <v>15</v>
      </c>
      <c r="F42" t="n">
        <v>13</v>
      </c>
      <c r="G42" t="n">
        <v>357</v>
      </c>
      <c r="H42" t="n">
        <v>1634</v>
      </c>
      <c r="I42" s="3">
        <f>IFERROR((C42/B42)*100,0)</f>
        <v/>
      </c>
      <c r="J42" s="3">
        <f>IFERROR((D42/B42)*100,0)</f>
        <v/>
      </c>
    </row>
    <row r="43">
      <c r="A43" t="inlineStr">
        <is>
          <t>Home Affairs</t>
        </is>
      </c>
      <c r="B43" t="n">
        <v>108289</v>
      </c>
      <c r="C43" t="n">
        <v>100058</v>
      </c>
      <c r="D43" t="n">
        <v>8231</v>
      </c>
      <c r="E43" t="n">
        <v>1077</v>
      </c>
      <c r="F43" t="n">
        <v>955</v>
      </c>
      <c r="G43" t="n">
        <v>2448</v>
      </c>
      <c r="H43" t="n">
        <v>3751</v>
      </c>
      <c r="I43" s="3">
        <f>IFERROR((C43/B43)*100,0)</f>
        <v/>
      </c>
      <c r="J43" s="3">
        <f>IFERROR((D43/B43)*100,0)</f>
        <v/>
      </c>
    </row>
    <row r="44">
      <c r="A44" t="inlineStr">
        <is>
          <t>Housing and Urban Affairs</t>
        </is>
      </c>
      <c r="B44" t="n">
        <v>47198</v>
      </c>
      <c r="C44" t="n">
        <v>46074</v>
      </c>
      <c r="D44" t="n">
        <v>1124</v>
      </c>
      <c r="E44" t="n">
        <v>19</v>
      </c>
      <c r="F44" t="n">
        <v>14</v>
      </c>
      <c r="G44" t="n">
        <v>258</v>
      </c>
      <c r="H44" t="n">
        <v>833</v>
      </c>
      <c r="I44" s="3">
        <f>IFERROR((C44/B44)*100,0)</f>
        <v/>
      </c>
      <c r="J44" s="3">
        <f>IFERROR((D44/B44)*100,0)</f>
        <v/>
      </c>
    </row>
    <row r="45">
      <c r="A45" t="inlineStr">
        <is>
          <t>Industrial Policy &amp; Promotion</t>
        </is>
      </c>
      <c r="B45" t="n">
        <v>8058</v>
      </c>
      <c r="C45" t="n">
        <v>8011</v>
      </c>
      <c r="D45" t="n">
        <v>47</v>
      </c>
      <c r="E45" t="n">
        <v>0</v>
      </c>
      <c r="F45" t="n">
        <v>2</v>
      </c>
      <c r="G45" t="n">
        <v>0</v>
      </c>
      <c r="H45" t="n">
        <v>45</v>
      </c>
      <c r="I45" s="3">
        <f>IFERROR((C45/B45)*100,0)</f>
        <v/>
      </c>
      <c r="J45" s="3">
        <f>IFERROR((D45/B45)*100,0)</f>
        <v/>
      </c>
    </row>
    <row r="46">
      <c r="A46" t="inlineStr">
        <is>
          <t>Information and Broadcasting</t>
        </is>
      </c>
      <c r="B46" t="n">
        <v>30458</v>
      </c>
      <c r="C46" t="n">
        <v>29826</v>
      </c>
      <c r="D46" t="n">
        <v>632</v>
      </c>
      <c r="E46" t="n">
        <v>1</v>
      </c>
      <c r="F46" t="n">
        <v>15</v>
      </c>
      <c r="G46" t="n">
        <v>191</v>
      </c>
      <c r="H46" t="n">
        <v>425</v>
      </c>
      <c r="I46" s="3">
        <f>IFERROR((C46/B46)*100,0)</f>
        <v/>
      </c>
      <c r="J46" s="3">
        <f>IFERROR((D46/B46)*100,0)</f>
        <v/>
      </c>
    </row>
    <row r="47">
      <c r="A47" t="inlineStr">
        <is>
          <t>Investment &amp; Public Asset Management</t>
        </is>
      </c>
      <c r="B47" t="n">
        <v>1698</v>
      </c>
      <c r="C47" t="n">
        <v>1689</v>
      </c>
      <c r="D47" t="n">
        <v>9</v>
      </c>
      <c r="E47" t="n">
        <v>0</v>
      </c>
      <c r="F47" t="n">
        <v>1</v>
      </c>
      <c r="G47" t="n">
        <v>2</v>
      </c>
      <c r="H47" t="n">
        <v>6</v>
      </c>
      <c r="I47" s="3">
        <f>IFERROR((C47/B47)*100,0)</f>
        <v/>
      </c>
      <c r="J47" s="3">
        <f>IFERROR((D47/B47)*100,0)</f>
        <v/>
      </c>
    </row>
    <row r="48">
      <c r="A48" t="inlineStr">
        <is>
          <t>Justice</t>
        </is>
      </c>
      <c r="B48" t="n">
        <v>35265</v>
      </c>
      <c r="C48" t="n">
        <v>35003</v>
      </c>
      <c r="D48" t="n">
        <v>262</v>
      </c>
      <c r="E48" t="n">
        <v>2</v>
      </c>
      <c r="F48" t="n">
        <v>0</v>
      </c>
      <c r="G48" t="n">
        <v>6</v>
      </c>
      <c r="H48" t="n">
        <v>254</v>
      </c>
      <c r="I48" s="3">
        <f>IFERROR((C48/B48)*100,0)</f>
        <v/>
      </c>
      <c r="J48" s="3">
        <f>IFERROR((D48/B48)*100,0)</f>
        <v/>
      </c>
    </row>
    <row r="49">
      <c r="A49" t="inlineStr">
        <is>
          <t>Labour and Employment</t>
        </is>
      </c>
      <c r="B49" t="n">
        <v>131406</v>
      </c>
      <c r="C49" t="n">
        <v>130142</v>
      </c>
      <c r="D49" t="n">
        <v>1264</v>
      </c>
      <c r="E49" t="n">
        <v>17</v>
      </c>
      <c r="F49" t="n">
        <v>7</v>
      </c>
      <c r="G49" t="n">
        <v>28</v>
      </c>
      <c r="H49" t="n">
        <v>1212</v>
      </c>
      <c r="I49" s="3">
        <f>IFERROR((C49/B49)*100,0)</f>
        <v/>
      </c>
      <c r="J49" s="3">
        <f>IFERROR((D49/B49)*100,0)</f>
        <v/>
      </c>
    </row>
    <row r="50">
      <c r="A50" t="inlineStr">
        <is>
          <t>Land Resources</t>
        </is>
      </c>
      <c r="B50" t="n">
        <v>2793</v>
      </c>
      <c r="C50" t="n">
        <v>2651</v>
      </c>
      <c r="D50" t="n">
        <v>142</v>
      </c>
      <c r="E50" t="n">
        <v>0</v>
      </c>
      <c r="F50" t="n">
        <v>2</v>
      </c>
      <c r="G50" t="n">
        <v>53</v>
      </c>
      <c r="H50" t="n">
        <v>87</v>
      </c>
      <c r="I50" s="3">
        <f>IFERROR((C50/B50)*100,0)</f>
        <v/>
      </c>
      <c r="J50" s="3">
        <f>IFERROR((D50/B50)*100,0)</f>
        <v/>
      </c>
    </row>
    <row r="51">
      <c r="A51" t="inlineStr">
        <is>
          <t>Legal Affairs</t>
        </is>
      </c>
      <c r="B51" t="n">
        <v>12075</v>
      </c>
      <c r="C51" t="n">
        <v>9253</v>
      </c>
      <c r="D51" t="n">
        <v>2822</v>
      </c>
      <c r="E51" t="n">
        <v>1725</v>
      </c>
      <c r="F51" t="n">
        <v>571</v>
      </c>
      <c r="G51" t="n">
        <v>349</v>
      </c>
      <c r="H51" t="n">
        <v>177</v>
      </c>
      <c r="I51" s="3">
        <f>IFERROR((C51/B51)*100,0)</f>
        <v/>
      </c>
      <c r="J51" s="3">
        <f>IFERROR((D51/B51)*100,0)</f>
        <v/>
      </c>
    </row>
    <row r="52">
      <c r="A52" t="inlineStr">
        <is>
          <t>Legislative Department</t>
        </is>
      </c>
      <c r="B52" t="n">
        <v>2615</v>
      </c>
      <c r="C52" t="n">
        <v>2184</v>
      </c>
      <c r="D52" t="n">
        <v>431</v>
      </c>
      <c r="E52" t="n">
        <v>61</v>
      </c>
      <c r="F52" t="n">
        <v>131</v>
      </c>
      <c r="G52" t="n">
        <v>119</v>
      </c>
      <c r="H52" t="n">
        <v>120</v>
      </c>
      <c r="I52" s="3">
        <f>IFERROR((C52/B52)*100,0)</f>
        <v/>
      </c>
      <c r="J52" s="3">
        <f>IFERROR((D52/B52)*100,0)</f>
        <v/>
      </c>
    </row>
    <row r="53">
      <c r="A53" t="inlineStr">
        <is>
          <t>Micro Small and Medium Enterprises</t>
        </is>
      </c>
      <c r="B53" t="n">
        <v>8736</v>
      </c>
      <c r="C53" t="n">
        <v>8501</v>
      </c>
      <c r="D53" t="n">
        <v>235</v>
      </c>
      <c r="E53" t="n">
        <v>0</v>
      </c>
      <c r="F53" t="n">
        <v>1</v>
      </c>
      <c r="G53" t="n">
        <v>25</v>
      </c>
      <c r="H53" t="n">
        <v>209</v>
      </c>
      <c r="I53" s="3">
        <f>IFERROR((C53/B53)*100,0)</f>
        <v/>
      </c>
      <c r="J53" s="3">
        <f>IFERROR((D53/B53)*100,0)</f>
        <v/>
      </c>
    </row>
    <row r="54">
      <c r="A54" t="inlineStr">
        <is>
          <t>Mines</t>
        </is>
      </c>
      <c r="B54" t="n">
        <v>4352</v>
      </c>
      <c r="C54" t="n">
        <v>4078</v>
      </c>
      <c r="D54" t="n">
        <v>274</v>
      </c>
      <c r="E54" t="n">
        <v>64</v>
      </c>
      <c r="F54" t="n">
        <v>38</v>
      </c>
      <c r="G54" t="n">
        <v>77</v>
      </c>
      <c r="H54" t="n">
        <v>95</v>
      </c>
      <c r="I54" s="3">
        <f>IFERROR((C54/B54)*100,0)</f>
        <v/>
      </c>
      <c r="J54" s="3">
        <f>IFERROR((D54/B54)*100,0)</f>
        <v/>
      </c>
    </row>
    <row r="55">
      <c r="A55" t="inlineStr">
        <is>
          <t>Minority Affairs</t>
        </is>
      </c>
      <c r="B55" t="n">
        <v>7280</v>
      </c>
      <c r="C55" t="n">
        <v>6933</v>
      </c>
      <c r="D55" t="n">
        <v>347</v>
      </c>
      <c r="E55" t="n">
        <v>54</v>
      </c>
      <c r="F55" t="n">
        <v>105</v>
      </c>
      <c r="G55" t="n">
        <v>102</v>
      </c>
      <c r="H55" t="n">
        <v>86</v>
      </c>
      <c r="I55" s="3">
        <f>IFERROR((C55/B55)*100,0)</f>
        <v/>
      </c>
      <c r="J55" s="3">
        <f>IFERROR((D55/B55)*100,0)</f>
        <v/>
      </c>
    </row>
    <row r="56">
      <c r="A56" t="inlineStr">
        <is>
          <t>New and Renewable Energy</t>
        </is>
      </c>
      <c r="B56" t="n">
        <v>3817</v>
      </c>
      <c r="C56" t="n">
        <v>3782</v>
      </c>
      <c r="D56" t="n">
        <v>35</v>
      </c>
      <c r="E56" t="n">
        <v>0</v>
      </c>
      <c r="F56" t="n">
        <v>0</v>
      </c>
      <c r="G56" t="n">
        <v>3</v>
      </c>
      <c r="H56" t="n">
        <v>32</v>
      </c>
      <c r="I56" s="3">
        <f>IFERROR((C56/B56)*100,0)</f>
        <v/>
      </c>
      <c r="J56" s="3">
        <f>IFERROR((D56/B56)*100,0)</f>
        <v/>
      </c>
    </row>
    <row r="57">
      <c r="A57" t="inlineStr">
        <is>
          <t>NITI Aayog</t>
        </is>
      </c>
      <c r="B57" t="n">
        <v>5640</v>
      </c>
      <c r="C57" t="n">
        <v>5631</v>
      </c>
      <c r="D57" t="n">
        <v>9</v>
      </c>
      <c r="E57" t="n">
        <v>0</v>
      </c>
      <c r="F57" t="n">
        <v>0</v>
      </c>
      <c r="G57" t="n">
        <v>0</v>
      </c>
      <c r="H57" t="n">
        <v>9</v>
      </c>
      <c r="I57" s="3">
        <f>IFERROR((C57/B57)*100,0)</f>
        <v/>
      </c>
      <c r="J57" s="3">
        <f>IFERROR((D57/B57)*100,0)</f>
        <v/>
      </c>
    </row>
    <row r="58">
      <c r="A58" t="inlineStr">
        <is>
          <t>O/o the Comptroller &amp; Auditor General of India</t>
        </is>
      </c>
      <c r="B58" t="n">
        <v>12467</v>
      </c>
      <c r="C58" t="n">
        <v>12255</v>
      </c>
      <c r="D58" t="n">
        <v>212</v>
      </c>
      <c r="E58" t="n">
        <v>1</v>
      </c>
      <c r="F58" t="n">
        <v>2</v>
      </c>
      <c r="G58" t="n">
        <v>77</v>
      </c>
      <c r="H58" t="n">
        <v>132</v>
      </c>
      <c r="I58" s="3">
        <f>IFERROR((C58/B58)*100,0)</f>
        <v/>
      </c>
      <c r="J58" s="3">
        <f>IFERROR((D58/B58)*100,0)</f>
        <v/>
      </c>
    </row>
    <row r="59">
      <c r="A59" t="inlineStr">
        <is>
          <t>Official Language</t>
        </is>
      </c>
      <c r="B59" t="n">
        <v>1347</v>
      </c>
      <c r="C59" t="n">
        <v>1331</v>
      </c>
      <c r="D59" t="n">
        <v>16</v>
      </c>
      <c r="E59" t="n">
        <v>0</v>
      </c>
      <c r="F59" t="n">
        <v>3</v>
      </c>
      <c r="G59" t="n">
        <v>6</v>
      </c>
      <c r="H59" t="n">
        <v>7</v>
      </c>
      <c r="I59" s="3">
        <f>IFERROR((C59/B59)*100,0)</f>
        <v/>
      </c>
      <c r="J59" s="3">
        <f>IFERROR((D59/B59)*100,0)</f>
        <v/>
      </c>
    </row>
    <row r="60">
      <c r="A60" t="inlineStr">
        <is>
          <t>Panchayati Raj</t>
        </is>
      </c>
      <c r="B60" t="n">
        <v>5765</v>
      </c>
      <c r="C60" t="n">
        <v>5695</v>
      </c>
      <c r="D60" t="n">
        <v>70</v>
      </c>
      <c r="E60" t="n">
        <v>0</v>
      </c>
      <c r="F60" t="n">
        <v>0</v>
      </c>
      <c r="G60" t="n">
        <v>5</v>
      </c>
      <c r="H60" t="n">
        <v>65</v>
      </c>
      <c r="I60" s="3">
        <f>IFERROR((C60/B60)*100,0)</f>
        <v/>
      </c>
      <c r="J60" s="3">
        <f>IFERROR((D60/B60)*100,0)</f>
        <v/>
      </c>
    </row>
    <row r="61">
      <c r="A61" t="inlineStr">
        <is>
          <t>Parliamentary Affairs</t>
        </is>
      </c>
      <c r="B61" t="n">
        <v>3082</v>
      </c>
      <c r="C61" t="n">
        <v>3077</v>
      </c>
      <c r="D61" t="n">
        <v>5</v>
      </c>
      <c r="E61" t="n">
        <v>0</v>
      </c>
      <c r="F61" t="n">
        <v>0</v>
      </c>
      <c r="G61" t="n">
        <v>1</v>
      </c>
      <c r="H61" t="n">
        <v>4</v>
      </c>
      <c r="I61" s="3">
        <f>IFERROR((C61/B61)*100,0)</f>
        <v/>
      </c>
      <c r="J61" s="3">
        <f>IFERROR((D61/B61)*100,0)</f>
        <v/>
      </c>
    </row>
    <row r="62">
      <c r="A62" t="inlineStr">
        <is>
          <t>Personnel and Training</t>
        </is>
      </c>
      <c r="B62" t="n">
        <v>99373</v>
      </c>
      <c r="C62" t="n">
        <v>98112</v>
      </c>
      <c r="D62" t="n">
        <v>1261</v>
      </c>
      <c r="E62" t="n">
        <v>176</v>
      </c>
      <c r="F62" t="n">
        <v>140</v>
      </c>
      <c r="G62" t="n">
        <v>279</v>
      </c>
      <c r="H62" t="n">
        <v>666</v>
      </c>
      <c r="I62" s="3">
        <f>IFERROR((C62/B62)*100,0)</f>
        <v/>
      </c>
      <c r="J62" s="3">
        <f>IFERROR((D62/B62)*100,0)</f>
        <v/>
      </c>
    </row>
    <row r="63">
      <c r="A63" t="inlineStr">
        <is>
          <t>Petroleum and Natural Gas</t>
        </is>
      </c>
      <c r="B63" t="n">
        <v>66127</v>
      </c>
      <c r="C63" t="n">
        <v>65448</v>
      </c>
      <c r="D63" t="n">
        <v>679</v>
      </c>
      <c r="E63" t="n">
        <v>5</v>
      </c>
      <c r="F63" t="n">
        <v>1</v>
      </c>
      <c r="G63" t="n">
        <v>8</v>
      </c>
      <c r="H63" t="n">
        <v>665</v>
      </c>
      <c r="I63" s="3">
        <f>IFERROR((C63/B63)*100,0)</f>
        <v/>
      </c>
      <c r="J63" s="3">
        <f>IFERROR((D63/B63)*100,0)</f>
        <v/>
      </c>
    </row>
    <row r="64">
      <c r="A64" t="inlineStr">
        <is>
          <t>Pharmaceutical</t>
        </is>
      </c>
      <c r="B64" t="n">
        <v>6732</v>
      </c>
      <c r="C64" t="n">
        <v>6671</v>
      </c>
      <c r="D64" t="n">
        <v>61</v>
      </c>
      <c r="E64" t="n">
        <v>1</v>
      </c>
      <c r="F64" t="n">
        <v>8</v>
      </c>
      <c r="G64" t="n">
        <v>6</v>
      </c>
      <c r="H64" t="n">
        <v>46</v>
      </c>
      <c r="I64" s="3">
        <f>IFERROR((C64/B64)*100,0)</f>
        <v/>
      </c>
      <c r="J64" s="3">
        <f>IFERROR((D64/B64)*100,0)</f>
        <v/>
      </c>
    </row>
    <row r="65">
      <c r="A65" t="inlineStr">
        <is>
          <t>Posts</t>
        </is>
      </c>
      <c r="B65" t="n">
        <v>152602</v>
      </c>
      <c r="C65" t="n">
        <v>150622</v>
      </c>
      <c r="D65" t="n">
        <v>1980</v>
      </c>
      <c r="E65" t="n">
        <v>128</v>
      </c>
      <c r="F65" t="n">
        <v>15</v>
      </c>
      <c r="G65" t="n">
        <v>117</v>
      </c>
      <c r="H65" t="n">
        <v>1720</v>
      </c>
      <c r="I65" s="3">
        <f>IFERROR((C65/B65)*100,0)</f>
        <v/>
      </c>
      <c r="J65" s="3">
        <f>IFERROR((D65/B65)*100,0)</f>
        <v/>
      </c>
    </row>
    <row r="66">
      <c r="A66" t="inlineStr">
        <is>
          <t>Power</t>
        </is>
      </c>
      <c r="B66" t="n">
        <v>15571</v>
      </c>
      <c r="C66" t="n">
        <v>15256</v>
      </c>
      <c r="D66" t="n">
        <v>315</v>
      </c>
      <c r="E66" t="n">
        <v>24</v>
      </c>
      <c r="F66" t="n">
        <v>42</v>
      </c>
      <c r="G66" t="n">
        <v>79</v>
      </c>
      <c r="H66" t="n">
        <v>170</v>
      </c>
      <c r="I66" s="3">
        <f>IFERROR((C66/B66)*100,0)</f>
        <v/>
      </c>
      <c r="J66" s="3">
        <f>IFERROR((D66/B66)*100,0)</f>
        <v/>
      </c>
    </row>
    <row r="67">
      <c r="A67" t="inlineStr">
        <is>
          <t>Public Enterprises</t>
        </is>
      </c>
      <c r="B67" t="n">
        <v>3861</v>
      </c>
      <c r="C67" t="n">
        <v>3851</v>
      </c>
      <c r="D67" t="n">
        <v>10</v>
      </c>
      <c r="E67" t="n">
        <v>0</v>
      </c>
      <c r="F67" t="n">
        <v>0</v>
      </c>
      <c r="G67" t="n">
        <v>0</v>
      </c>
      <c r="H67" t="n">
        <v>10</v>
      </c>
      <c r="I67" s="3">
        <f>IFERROR((C67/B67)*100,0)</f>
        <v/>
      </c>
      <c r="J67" s="3">
        <f>IFERROR((D67/B67)*100,0)</f>
        <v/>
      </c>
    </row>
    <row r="68">
      <c r="A68" t="inlineStr">
        <is>
          <t>Railways, ( Railway Board)</t>
        </is>
      </c>
      <c r="B68" t="n">
        <v>213382</v>
      </c>
      <c r="C68" t="n">
        <v>208449</v>
      </c>
      <c r="D68" t="n">
        <v>4933</v>
      </c>
      <c r="E68" t="n">
        <v>376</v>
      </c>
      <c r="F68" t="n">
        <v>335</v>
      </c>
      <c r="G68" t="n">
        <v>1014</v>
      </c>
      <c r="H68" t="n">
        <v>3208</v>
      </c>
      <c r="I68" s="3">
        <f>IFERROR((C68/B68)*100,0)</f>
        <v/>
      </c>
      <c r="J68" s="3">
        <f>IFERROR((D68/B68)*100,0)</f>
        <v/>
      </c>
    </row>
    <row r="69">
      <c r="A69" t="inlineStr">
        <is>
          <t>Revenue</t>
        </is>
      </c>
      <c r="B69" t="n">
        <v>94756</v>
      </c>
      <c r="C69" t="n">
        <v>91178</v>
      </c>
      <c r="D69" t="n">
        <v>3578</v>
      </c>
      <c r="E69" t="n">
        <v>244</v>
      </c>
      <c r="F69" t="n">
        <v>689</v>
      </c>
      <c r="G69" t="n">
        <v>1312</v>
      </c>
      <c r="H69" t="n">
        <v>1333</v>
      </c>
      <c r="I69" s="3">
        <f>IFERROR((C69/B69)*100,0)</f>
        <v/>
      </c>
      <c r="J69" s="3">
        <f>IFERROR((D69/B69)*100,0)</f>
        <v/>
      </c>
    </row>
    <row r="70">
      <c r="A70" t="inlineStr">
        <is>
          <t>Road Transport and Highways</t>
        </is>
      </c>
      <c r="B70" t="n">
        <v>42711</v>
      </c>
      <c r="C70" t="n">
        <v>40516</v>
      </c>
      <c r="D70" t="n">
        <v>2195</v>
      </c>
      <c r="E70" t="n">
        <v>59</v>
      </c>
      <c r="F70" t="n">
        <v>131</v>
      </c>
      <c r="G70" t="n">
        <v>359</v>
      </c>
      <c r="H70" t="n">
        <v>1646</v>
      </c>
      <c r="I70" s="3">
        <f>IFERROR((C70/B70)*100,0)</f>
        <v/>
      </c>
      <c r="J70" s="3">
        <f>IFERROR((D70/B70)*100,0)</f>
        <v/>
      </c>
    </row>
    <row r="71">
      <c r="A71" t="inlineStr">
        <is>
          <t>Rural Development</t>
        </is>
      </c>
      <c r="B71" t="n">
        <v>16699</v>
      </c>
      <c r="C71" t="n">
        <v>15396</v>
      </c>
      <c r="D71" t="n">
        <v>1303</v>
      </c>
      <c r="E71" t="n">
        <v>157</v>
      </c>
      <c r="F71" t="n">
        <v>224</v>
      </c>
      <c r="G71" t="n">
        <v>355</v>
      </c>
      <c r="H71" t="n">
        <v>567</v>
      </c>
      <c r="I71" s="3">
        <f>IFERROR((C71/B71)*100,0)</f>
        <v/>
      </c>
      <c r="J71" s="3">
        <f>IFERROR((D71/B71)*100,0)</f>
        <v/>
      </c>
    </row>
    <row r="72">
      <c r="A72" t="inlineStr">
        <is>
          <t>School Education and Literacy</t>
        </is>
      </c>
      <c r="B72" t="n">
        <v>63858</v>
      </c>
      <c r="C72" t="n">
        <v>62222</v>
      </c>
      <c r="D72" t="n">
        <v>1636</v>
      </c>
      <c r="E72" t="n">
        <v>7</v>
      </c>
      <c r="F72" t="n">
        <v>9</v>
      </c>
      <c r="G72" t="n">
        <v>349</v>
      </c>
      <c r="H72" t="n">
        <v>1271</v>
      </c>
      <c r="I72" s="3">
        <f>IFERROR((C72/B72)*100,0)</f>
        <v/>
      </c>
      <c r="J72" s="3">
        <f>IFERROR((D72/B72)*100,0)</f>
        <v/>
      </c>
    </row>
    <row r="73">
      <c r="A73" t="inlineStr">
        <is>
          <t>Science and Technology</t>
        </is>
      </c>
      <c r="B73" t="n">
        <v>7808</v>
      </c>
      <c r="C73" t="n">
        <v>7702</v>
      </c>
      <c r="D73" t="n">
        <v>106</v>
      </c>
      <c r="E73" t="n">
        <v>0</v>
      </c>
      <c r="F73" t="n">
        <v>3</v>
      </c>
      <c r="G73" t="n">
        <v>23</v>
      </c>
      <c r="H73" t="n">
        <v>80</v>
      </c>
      <c r="I73" s="3">
        <f>IFERROR((C73/B73)*100,0)</f>
        <v/>
      </c>
      <c r="J73" s="3">
        <f>IFERROR((D73/B73)*100,0)</f>
        <v/>
      </c>
    </row>
    <row r="74">
      <c r="A74" t="inlineStr">
        <is>
          <t>Scientific &amp; Industrial Research</t>
        </is>
      </c>
      <c r="B74" t="n">
        <v>4434</v>
      </c>
      <c r="C74" t="n">
        <v>4155</v>
      </c>
      <c r="D74" t="n">
        <v>279</v>
      </c>
      <c r="E74" t="n">
        <v>16</v>
      </c>
      <c r="F74" t="n">
        <v>59</v>
      </c>
      <c r="G74" t="n">
        <v>92</v>
      </c>
      <c r="H74" t="n">
        <v>112</v>
      </c>
      <c r="I74" s="3">
        <f>IFERROR((C74/B74)*100,0)</f>
        <v/>
      </c>
      <c r="J74" s="3">
        <f>IFERROR((D74/B74)*100,0)</f>
        <v/>
      </c>
    </row>
    <row r="75">
      <c r="A75" t="inlineStr">
        <is>
          <t>Shipping</t>
        </is>
      </c>
      <c r="B75" t="n">
        <v>6570</v>
      </c>
      <c r="C75" t="n">
        <v>6211</v>
      </c>
      <c r="D75" t="n">
        <v>359</v>
      </c>
      <c r="E75" t="n">
        <v>12</v>
      </c>
      <c r="F75" t="n">
        <v>61</v>
      </c>
      <c r="G75" t="n">
        <v>101</v>
      </c>
      <c r="H75" t="n">
        <v>185</v>
      </c>
      <c r="I75" s="3">
        <f>IFERROR((C75/B75)*100,0)</f>
        <v/>
      </c>
      <c r="J75" s="3">
        <f>IFERROR((D75/B75)*100,0)</f>
        <v/>
      </c>
    </row>
    <row r="76">
      <c r="A76" t="inlineStr">
        <is>
          <t>Skill Development and Entrepreneurship</t>
        </is>
      </c>
      <c r="B76" t="n">
        <v>9492</v>
      </c>
      <c r="C76" t="n">
        <v>9276</v>
      </c>
      <c r="D76" t="n">
        <v>216</v>
      </c>
      <c r="E76" t="n">
        <v>5</v>
      </c>
      <c r="F76" t="n">
        <v>20</v>
      </c>
      <c r="G76" t="n">
        <v>44</v>
      </c>
      <c r="H76" t="n">
        <v>147</v>
      </c>
      <c r="I76" s="3">
        <f>IFERROR((C76/B76)*100,0)</f>
        <v/>
      </c>
      <c r="J76" s="3">
        <f>IFERROR((D76/B76)*100,0)</f>
        <v/>
      </c>
    </row>
    <row r="77">
      <c r="A77" t="inlineStr">
        <is>
          <t>Social Justice and Empowerment</t>
        </is>
      </c>
      <c r="B77" t="n">
        <v>17040</v>
      </c>
      <c r="C77" t="n">
        <v>16097</v>
      </c>
      <c r="D77" t="n">
        <v>943</v>
      </c>
      <c r="E77" t="n">
        <v>424</v>
      </c>
      <c r="F77" t="n">
        <v>230</v>
      </c>
      <c r="G77" t="n">
        <v>141</v>
      </c>
      <c r="H77" t="n">
        <v>148</v>
      </c>
      <c r="I77" s="3">
        <f>IFERROR((C77/B77)*100,0)</f>
        <v/>
      </c>
      <c r="J77" s="3">
        <f>IFERROR((D77/B77)*100,0)</f>
        <v/>
      </c>
    </row>
    <row r="78">
      <c r="A78" t="inlineStr">
        <is>
          <t>Space</t>
        </is>
      </c>
      <c r="B78" t="n">
        <v>2263</v>
      </c>
      <c r="C78" t="n">
        <v>2007</v>
      </c>
      <c r="D78" t="n">
        <v>256</v>
      </c>
      <c r="E78" t="n">
        <v>12</v>
      </c>
      <c r="F78" t="n">
        <v>17</v>
      </c>
      <c r="G78" t="n">
        <v>29</v>
      </c>
      <c r="H78" t="n">
        <v>198</v>
      </c>
      <c r="I78" s="3">
        <f>IFERROR((C78/B78)*100,0)</f>
        <v/>
      </c>
      <c r="J78" s="3">
        <f>IFERROR((D78/B78)*100,0)</f>
        <v/>
      </c>
    </row>
    <row r="79">
      <c r="A79" t="inlineStr">
        <is>
          <t>Sports</t>
        </is>
      </c>
      <c r="B79" t="n">
        <v>6909</v>
      </c>
      <c r="C79" t="n">
        <v>6657</v>
      </c>
      <c r="D79" t="n">
        <v>252</v>
      </c>
      <c r="E79" t="n">
        <v>5</v>
      </c>
      <c r="F79" t="n">
        <v>7</v>
      </c>
      <c r="G79" t="n">
        <v>100</v>
      </c>
      <c r="H79" t="n">
        <v>140</v>
      </c>
      <c r="I79" s="3">
        <f>IFERROR((C79/B79)*100,0)</f>
        <v/>
      </c>
      <c r="J79" s="3">
        <f>IFERROR((D79/B79)*100,0)</f>
        <v/>
      </c>
    </row>
    <row r="80">
      <c r="A80" t="inlineStr">
        <is>
          <t>Statistics and Programme Implementation</t>
        </is>
      </c>
      <c r="B80" t="n">
        <v>1870</v>
      </c>
      <c r="C80" t="n">
        <v>1843</v>
      </c>
      <c r="D80" t="n">
        <v>27</v>
      </c>
      <c r="E80" t="n">
        <v>0</v>
      </c>
      <c r="F80" t="n">
        <v>1</v>
      </c>
      <c r="G80" t="n">
        <v>8</v>
      </c>
      <c r="H80" t="n">
        <v>18</v>
      </c>
      <c r="I80" s="3">
        <f>IFERROR((C80/B80)*100,0)</f>
        <v/>
      </c>
      <c r="J80" s="3">
        <f>IFERROR((D80/B80)*100,0)</f>
        <v/>
      </c>
    </row>
    <row r="81">
      <c r="A81" t="inlineStr">
        <is>
          <t>Steel</t>
        </is>
      </c>
      <c r="B81" t="n">
        <v>6053</v>
      </c>
      <c r="C81" t="n">
        <v>6004</v>
      </c>
      <c r="D81" t="n">
        <v>49</v>
      </c>
      <c r="E81" t="n">
        <v>0</v>
      </c>
      <c r="F81" t="n">
        <v>0</v>
      </c>
      <c r="G81" t="n">
        <v>1</v>
      </c>
      <c r="H81" t="n">
        <v>48</v>
      </c>
      <c r="I81" s="3">
        <f>IFERROR((C81/B81)*100,0)</f>
        <v/>
      </c>
      <c r="J81" s="3">
        <f>IFERROR((D81/B81)*100,0)</f>
        <v/>
      </c>
    </row>
    <row r="82">
      <c r="A82" t="inlineStr">
        <is>
          <t>Telecommunications</t>
        </is>
      </c>
      <c r="B82" t="n">
        <v>261387</v>
      </c>
      <c r="C82" t="n">
        <v>258562</v>
      </c>
      <c r="D82" t="n">
        <v>2825</v>
      </c>
      <c r="E82" t="n">
        <v>16</v>
      </c>
      <c r="F82" t="n">
        <v>26</v>
      </c>
      <c r="G82" t="n">
        <v>360</v>
      </c>
      <c r="H82" t="n">
        <v>2423</v>
      </c>
      <c r="I82" s="3">
        <f>IFERROR((C82/B82)*100,0)</f>
        <v/>
      </c>
      <c r="J82" s="3">
        <f>IFERROR((D82/B82)*100,0)</f>
        <v/>
      </c>
    </row>
    <row r="83">
      <c r="A83" t="inlineStr">
        <is>
          <t>Textiles</t>
        </is>
      </c>
      <c r="B83" t="n">
        <v>5606</v>
      </c>
      <c r="C83" t="n">
        <v>5459</v>
      </c>
      <c r="D83" t="n">
        <v>147</v>
      </c>
      <c r="E83" t="n">
        <v>0</v>
      </c>
      <c r="F83" t="n">
        <v>0</v>
      </c>
      <c r="G83" t="n">
        <v>10</v>
      </c>
      <c r="H83" t="n">
        <v>137</v>
      </c>
      <c r="I83" s="3">
        <f>IFERROR((C83/B83)*100,0)</f>
        <v/>
      </c>
      <c r="J83" s="3">
        <f>IFERROR((D83/B83)*100,0)</f>
        <v/>
      </c>
    </row>
    <row r="84">
      <c r="A84" t="inlineStr">
        <is>
          <t>Tourism</t>
        </is>
      </c>
      <c r="B84" t="n">
        <v>4717</v>
      </c>
      <c r="C84" t="n">
        <v>4693</v>
      </c>
      <c r="D84" t="n">
        <v>24</v>
      </c>
      <c r="E84" t="n">
        <v>0</v>
      </c>
      <c r="F84" t="n">
        <v>0</v>
      </c>
      <c r="G84" t="n">
        <v>1</v>
      </c>
      <c r="H84" t="n">
        <v>23</v>
      </c>
      <c r="I84" s="3">
        <f>IFERROR((C84/B84)*100,0)</f>
        <v/>
      </c>
      <c r="J84" s="3">
        <f>IFERROR((D84/B84)*100,0)</f>
        <v/>
      </c>
    </row>
    <row r="85">
      <c r="A85" t="inlineStr">
        <is>
          <t>Tribal Affairs</t>
        </is>
      </c>
      <c r="B85" t="n">
        <v>3778</v>
      </c>
      <c r="C85" t="n">
        <v>3633</v>
      </c>
      <c r="D85" t="n">
        <v>145</v>
      </c>
      <c r="E85" t="n">
        <v>0</v>
      </c>
      <c r="F85" t="n">
        <v>3</v>
      </c>
      <c r="G85" t="n">
        <v>11</v>
      </c>
      <c r="H85" t="n">
        <v>131</v>
      </c>
      <c r="I85" s="3">
        <f>IFERROR((C85/B85)*100,0)</f>
        <v/>
      </c>
      <c r="J85" s="3">
        <f>IFERROR((D85/B85)*100,0)</f>
        <v/>
      </c>
    </row>
    <row r="86">
      <c r="A86" t="inlineStr">
        <is>
          <t>Unique Identification Authority of India</t>
        </is>
      </c>
      <c r="B86" t="n">
        <v>39124</v>
      </c>
      <c r="C86" t="n">
        <v>38583</v>
      </c>
      <c r="D86" t="n">
        <v>541</v>
      </c>
      <c r="E86" t="n">
        <v>0</v>
      </c>
      <c r="F86" t="n">
        <v>0</v>
      </c>
      <c r="G86" t="n">
        <v>18</v>
      </c>
      <c r="H86" t="n">
        <v>523</v>
      </c>
      <c r="I86" s="3">
        <f>IFERROR((C86/B86)*100,0)</f>
        <v/>
      </c>
      <c r="J86" s="3">
        <f>IFERROR((D86/B86)*100,0)</f>
        <v/>
      </c>
    </row>
    <row r="87">
      <c r="A87" t="inlineStr">
        <is>
          <t>Water Resources, River Development &amp; Ganga Rejuvenuation,</t>
        </is>
      </c>
      <c r="B87" t="n">
        <v>15421</v>
      </c>
      <c r="C87" t="n">
        <v>14627</v>
      </c>
      <c r="D87" t="n">
        <v>794</v>
      </c>
      <c r="E87" t="n">
        <v>35</v>
      </c>
      <c r="F87" t="n">
        <v>27</v>
      </c>
      <c r="G87" t="n">
        <v>329</v>
      </c>
      <c r="H87" t="n">
        <v>403</v>
      </c>
      <c r="I87" s="3">
        <f>IFERROR((C87/B87)*100,0)</f>
        <v/>
      </c>
      <c r="J87" s="3">
        <f>IFERROR((D87/B87)*100,0)</f>
        <v/>
      </c>
    </row>
    <row r="88">
      <c r="A88" t="inlineStr">
        <is>
          <t>Women and Child Development</t>
        </is>
      </c>
      <c r="B88" t="n">
        <v>16426</v>
      </c>
      <c r="C88" t="n">
        <v>16256</v>
      </c>
      <c r="D88" t="n">
        <v>170</v>
      </c>
      <c r="E88" t="n">
        <v>0</v>
      </c>
      <c r="F88" t="n">
        <v>1</v>
      </c>
      <c r="G88" t="n">
        <v>6</v>
      </c>
      <c r="H88" t="n">
        <v>163</v>
      </c>
      <c r="I88" s="3">
        <f>IFERROR((C88/B88)*100,0)</f>
        <v/>
      </c>
      <c r="J88" s="3">
        <f>IFERROR((D88/B88)*100,0)</f>
        <v/>
      </c>
    </row>
    <row r="89">
      <c r="A89" t="inlineStr">
        <is>
          <t>Youth Affairs</t>
        </is>
      </c>
      <c r="B89" t="n">
        <v>3727</v>
      </c>
      <c r="C89" t="n">
        <v>3623</v>
      </c>
      <c r="D89" t="n">
        <v>104</v>
      </c>
      <c r="E89" t="n">
        <v>3</v>
      </c>
      <c r="F89" t="n">
        <v>15</v>
      </c>
      <c r="G89" t="n">
        <v>33</v>
      </c>
      <c r="H89" t="n">
        <v>53</v>
      </c>
      <c r="I89" s="3">
        <f>IFERROR((C89/B89)*100,0)</f>
        <v/>
      </c>
      <c r="J89" s="3">
        <f>IFERROR((D89/B89)*100,0)</f>
        <v/>
      </c>
    </row>
    <row r="90">
      <c r="A90" t="inlineStr">
        <is>
          <t>NCT of Delhi</t>
        </is>
      </c>
      <c r="B90" t="n">
        <v>100682</v>
      </c>
      <c r="C90" t="n">
        <v>86609</v>
      </c>
      <c r="D90" t="n">
        <v>14073</v>
      </c>
      <c r="E90" t="n">
        <v>2760</v>
      </c>
      <c r="F90" t="n">
        <v>1775</v>
      </c>
      <c r="G90" t="n">
        <v>3948</v>
      </c>
      <c r="H90" t="n">
        <v>5590</v>
      </c>
      <c r="I90" s="3">
        <f>IFERROR((C90/B90)*100,0)</f>
        <v/>
      </c>
      <c r="J90" s="3">
        <f>IFERROR((D90/B90)*100,0)</f>
        <v/>
      </c>
    </row>
    <row r="91">
      <c r="A91" t="inlineStr">
        <is>
          <t>Andaman &amp; Nicobar</t>
        </is>
      </c>
      <c r="B91" t="n">
        <v>1884</v>
      </c>
      <c r="C91" t="n">
        <v>1795</v>
      </c>
      <c r="D91" t="n">
        <v>89</v>
      </c>
      <c r="E91" t="n">
        <v>0</v>
      </c>
      <c r="F91" t="n">
        <v>0</v>
      </c>
      <c r="G91" t="n">
        <v>20</v>
      </c>
      <c r="H91" t="n">
        <v>69</v>
      </c>
      <c r="I91" s="3">
        <f>IFERROR((C91/B91)*100,0)</f>
        <v/>
      </c>
      <c r="J91" s="3">
        <f>IFERROR((D91/B91)*100,0)</f>
        <v/>
      </c>
    </row>
    <row r="92">
      <c r="A92" t="inlineStr">
        <is>
          <t>Andhra Pradesh</t>
        </is>
      </c>
      <c r="B92" t="n">
        <v>26978</v>
      </c>
      <c r="C92" t="n">
        <v>568</v>
      </c>
      <c r="D92" t="n">
        <v>26410</v>
      </c>
      <c r="E92" t="n">
        <v>21706</v>
      </c>
      <c r="F92" t="n">
        <v>2079</v>
      </c>
      <c r="G92" t="n">
        <v>1656</v>
      </c>
      <c r="H92" t="n">
        <v>969</v>
      </c>
      <c r="I92" s="3">
        <f>IFERROR((C92/B92)*100,0)</f>
        <v/>
      </c>
      <c r="J92" s="3">
        <f>IFERROR((D92/B92)*100,0)</f>
        <v/>
      </c>
    </row>
    <row r="93">
      <c r="A93" t="inlineStr">
        <is>
          <t>Arunachal Pradesh</t>
        </is>
      </c>
      <c r="B93" t="n">
        <v>1498</v>
      </c>
      <c r="C93" t="n">
        <v>1008</v>
      </c>
      <c r="D93" t="n">
        <v>490</v>
      </c>
      <c r="E93" t="n">
        <v>169</v>
      </c>
      <c r="F93" t="n">
        <v>150</v>
      </c>
      <c r="G93" t="n">
        <v>78</v>
      </c>
      <c r="H93" t="n">
        <v>93</v>
      </c>
      <c r="I93" s="3">
        <f>IFERROR((C93/B93)*100,0)</f>
        <v/>
      </c>
      <c r="J93" s="3">
        <f>IFERROR((D93/B93)*100,0)</f>
        <v/>
      </c>
    </row>
    <row r="94">
      <c r="A94" t="inlineStr">
        <is>
          <t>Assam</t>
        </is>
      </c>
      <c r="B94" t="n">
        <v>30207</v>
      </c>
      <c r="C94" t="n">
        <v>3129</v>
      </c>
      <c r="D94" t="n">
        <v>27078</v>
      </c>
      <c r="E94" t="n">
        <v>19996</v>
      </c>
      <c r="F94" t="n">
        <v>2673</v>
      </c>
      <c r="G94" t="n">
        <v>2921</v>
      </c>
      <c r="H94" t="n">
        <v>1488</v>
      </c>
      <c r="I94" s="3">
        <f>IFERROR((C94/B94)*100,0)</f>
        <v/>
      </c>
      <c r="J94" s="3">
        <f>IFERROR((D94/B94)*100,0)</f>
        <v/>
      </c>
    </row>
    <row r="95">
      <c r="A95" t="inlineStr">
        <is>
          <t>Bihar</t>
        </is>
      </c>
      <c r="B95" t="n">
        <v>86518</v>
      </c>
      <c r="C95" t="n">
        <v>25232</v>
      </c>
      <c r="D95" t="n">
        <v>61286</v>
      </c>
      <c r="E95" t="n">
        <v>34487</v>
      </c>
      <c r="F95" t="n">
        <v>9484</v>
      </c>
      <c r="G95" t="n">
        <v>9889</v>
      </c>
      <c r="H95" t="n">
        <v>7426</v>
      </c>
      <c r="I95" s="3">
        <f>IFERROR((C95/B95)*100,0)</f>
        <v/>
      </c>
      <c r="J95" s="3">
        <f>IFERROR((D95/B95)*100,0)</f>
        <v/>
      </c>
    </row>
    <row r="96">
      <c r="A96" t="inlineStr">
        <is>
          <t>Union Territory of Chandigarh</t>
        </is>
      </c>
      <c r="B96" t="n">
        <v>9368</v>
      </c>
      <c r="C96" t="n">
        <v>9039</v>
      </c>
      <c r="D96" t="n">
        <v>329</v>
      </c>
      <c r="E96" t="n">
        <v>1</v>
      </c>
      <c r="F96" t="n">
        <v>54</v>
      </c>
      <c r="G96" t="n">
        <v>109</v>
      </c>
      <c r="H96" t="n">
        <v>165</v>
      </c>
      <c r="I96" s="3">
        <f>IFERROR((C96/B96)*100,0)</f>
        <v/>
      </c>
      <c r="J96" s="3">
        <f>IFERROR((D96/B96)*100,0)</f>
        <v/>
      </c>
    </row>
    <row r="97">
      <c r="A97" t="inlineStr">
        <is>
          <t>Chattisgarh</t>
        </is>
      </c>
      <c r="B97" t="n">
        <v>36916</v>
      </c>
      <c r="C97" t="n">
        <v>31180</v>
      </c>
      <c r="D97" t="n">
        <v>5736</v>
      </c>
      <c r="E97" t="n">
        <v>3194</v>
      </c>
      <c r="F97" t="n">
        <v>760</v>
      </c>
      <c r="G97" t="n">
        <v>867</v>
      </c>
      <c r="H97" t="n">
        <v>915</v>
      </c>
      <c r="I97" s="3">
        <f>IFERROR((C97/B97)*100,0)</f>
        <v/>
      </c>
      <c r="J97" s="3">
        <f>IFERROR((D97/B97)*100,0)</f>
        <v/>
      </c>
    </row>
    <row r="98">
      <c r="A98" t="inlineStr">
        <is>
          <t>Union Territory of Dadra &amp; Nagar Haveli</t>
        </is>
      </c>
      <c r="B98" t="n">
        <v>996</v>
      </c>
      <c r="C98" t="n">
        <v>788</v>
      </c>
      <c r="D98" t="n">
        <v>208</v>
      </c>
      <c r="E98" t="n">
        <v>0</v>
      </c>
      <c r="F98" t="n">
        <v>0</v>
      </c>
      <c r="G98" t="n">
        <v>12</v>
      </c>
      <c r="H98" t="n">
        <v>196</v>
      </c>
      <c r="I98" s="3">
        <f>IFERROR((C98/B98)*100,0)</f>
        <v/>
      </c>
      <c r="J98" s="3">
        <f>IFERROR((D98/B98)*100,0)</f>
        <v/>
      </c>
    </row>
    <row r="99">
      <c r="A99" t="inlineStr">
        <is>
          <t>Union Territory of Daman &amp; Diu</t>
        </is>
      </c>
      <c r="B99" t="n">
        <v>783</v>
      </c>
      <c r="C99" t="n">
        <v>765</v>
      </c>
      <c r="D99" t="n">
        <v>18</v>
      </c>
      <c r="E99" t="n">
        <v>0</v>
      </c>
      <c r="F99" t="n">
        <v>0</v>
      </c>
      <c r="G99" t="n">
        <v>1</v>
      </c>
      <c r="H99" t="n">
        <v>17</v>
      </c>
      <c r="I99" s="3">
        <f>IFERROR((C99/B99)*100,0)</f>
        <v/>
      </c>
      <c r="J99" s="3">
        <f>IFERROR((D99/B99)*100,0)</f>
        <v/>
      </c>
    </row>
    <row r="100">
      <c r="A100" t="inlineStr">
        <is>
          <t>Gujarat</t>
        </is>
      </c>
      <c r="B100" t="n">
        <v>90189</v>
      </c>
      <c r="C100" t="n">
        <v>80279</v>
      </c>
      <c r="D100" t="n">
        <v>9910</v>
      </c>
      <c r="E100" t="n">
        <v>536</v>
      </c>
      <c r="F100" t="n">
        <v>1425</v>
      </c>
      <c r="G100" t="n">
        <v>2703</v>
      </c>
      <c r="H100" t="n">
        <v>5246</v>
      </c>
      <c r="I100" s="3">
        <f>IFERROR((C100/B100)*100,0)</f>
        <v/>
      </c>
      <c r="J100" s="3">
        <f>IFERROR((D100/B100)*100,0)</f>
        <v/>
      </c>
    </row>
    <row r="101">
      <c r="A101" t="inlineStr">
        <is>
          <t>Goa</t>
        </is>
      </c>
      <c r="B101" t="n">
        <v>4445</v>
      </c>
      <c r="C101" t="n">
        <v>2880</v>
      </c>
      <c r="D101" t="n">
        <v>1565</v>
      </c>
      <c r="E101" t="n">
        <v>1008</v>
      </c>
      <c r="F101" t="n">
        <v>183</v>
      </c>
      <c r="G101" t="n">
        <v>224</v>
      </c>
      <c r="H101" t="n">
        <v>150</v>
      </c>
      <c r="I101" s="3">
        <f>IFERROR((C101/B101)*100,0)</f>
        <v/>
      </c>
      <c r="J101" s="3">
        <f>IFERROR((D101/B101)*100,0)</f>
        <v/>
      </c>
    </row>
    <row r="102">
      <c r="A102" t="inlineStr">
        <is>
          <t>Himachal Pradesh</t>
        </is>
      </c>
      <c r="B102" t="n">
        <v>18727</v>
      </c>
      <c r="C102" t="n">
        <v>232</v>
      </c>
      <c r="D102" t="n">
        <v>18495</v>
      </c>
      <c r="E102" t="n">
        <v>13312</v>
      </c>
      <c r="F102" t="n">
        <v>1917</v>
      </c>
      <c r="G102" t="n">
        <v>2026</v>
      </c>
      <c r="H102" t="n">
        <v>1240</v>
      </c>
      <c r="I102" s="3">
        <f>IFERROR((C102/B102)*100,0)</f>
        <v/>
      </c>
      <c r="J102" s="3">
        <f>IFERROR((D102/B102)*100,0)</f>
        <v/>
      </c>
    </row>
    <row r="103">
      <c r="A103" t="inlineStr">
        <is>
          <t>Haryana</t>
        </is>
      </c>
      <c r="B103" t="n">
        <v>102805</v>
      </c>
      <c r="C103" t="n">
        <v>56415</v>
      </c>
      <c r="D103" t="n">
        <v>46390</v>
      </c>
      <c r="E103" t="n">
        <v>29701</v>
      </c>
      <c r="F103" t="n">
        <v>4784</v>
      </c>
      <c r="G103" t="n">
        <v>6415</v>
      </c>
      <c r="H103" t="n">
        <v>5490</v>
      </c>
      <c r="I103" s="3">
        <f>IFERROR((C103/B103)*100,0)</f>
        <v/>
      </c>
      <c r="J103" s="3">
        <f>IFERROR((D103/B103)*100,0)</f>
        <v/>
      </c>
    </row>
    <row r="104">
      <c r="A104" t="inlineStr">
        <is>
          <t>Jharkhand</t>
        </is>
      </c>
      <c r="B104" t="n">
        <v>41484</v>
      </c>
      <c r="C104" t="n">
        <v>14688</v>
      </c>
      <c r="D104" t="n">
        <v>26796</v>
      </c>
      <c r="E104" t="n">
        <v>15095</v>
      </c>
      <c r="F104" t="n">
        <v>4916</v>
      </c>
      <c r="G104" t="n">
        <v>4213</v>
      </c>
      <c r="H104" t="n">
        <v>2572</v>
      </c>
      <c r="I104" s="3">
        <f>IFERROR((C104/B104)*100,0)</f>
        <v/>
      </c>
      <c r="J104" s="3">
        <f>IFERROR((D104/B104)*100,0)</f>
        <v/>
      </c>
    </row>
    <row r="105">
      <c r="A105" t="inlineStr">
        <is>
          <t>Jammu and Kashmir</t>
        </is>
      </c>
      <c r="B105" t="n">
        <v>14243</v>
      </c>
      <c r="C105" t="n">
        <v>302</v>
      </c>
      <c r="D105" t="n">
        <v>13941</v>
      </c>
      <c r="E105" t="n">
        <v>10487</v>
      </c>
      <c r="F105" t="n">
        <v>1507</v>
      </c>
      <c r="G105" t="n">
        <v>1362</v>
      </c>
      <c r="H105" t="n">
        <v>585</v>
      </c>
      <c r="I105" s="3">
        <f>IFERROR((C105/B105)*100,0)</f>
        <v/>
      </c>
      <c r="J105" s="3">
        <f>IFERROR((D105/B105)*100,0)</f>
        <v/>
      </c>
    </row>
    <row r="106">
      <c r="A106" t="inlineStr">
        <is>
          <t>Kerala</t>
        </is>
      </c>
      <c r="B106" t="n">
        <v>28827</v>
      </c>
      <c r="C106" t="n">
        <v>3139</v>
      </c>
      <c r="D106" t="n">
        <v>25688</v>
      </c>
      <c r="E106" t="n">
        <v>19124</v>
      </c>
      <c r="F106" t="n">
        <v>2795</v>
      </c>
      <c r="G106" t="n">
        <v>2344</v>
      </c>
      <c r="H106" t="n">
        <v>1425</v>
      </c>
      <c r="I106" s="3">
        <f>IFERROR((C106/B106)*100,0)</f>
        <v/>
      </c>
      <c r="J106" s="3">
        <f>IFERROR((D106/B106)*100,0)</f>
        <v/>
      </c>
    </row>
    <row r="107">
      <c r="A107" t="inlineStr">
        <is>
          <t>Karnataka</t>
        </is>
      </c>
      <c r="B107" t="n">
        <v>71031</v>
      </c>
      <c r="C107" t="n">
        <v>32435</v>
      </c>
      <c r="D107" t="n">
        <v>38596</v>
      </c>
      <c r="E107" t="n">
        <v>16943</v>
      </c>
      <c r="F107" t="n">
        <v>7426</v>
      </c>
      <c r="G107" t="n">
        <v>8729</v>
      </c>
      <c r="H107" t="n">
        <v>5498</v>
      </c>
      <c r="I107" s="3">
        <f>IFERROR((C107/B107)*100,0)</f>
        <v/>
      </c>
      <c r="J107" s="3">
        <f>IFERROR((D107/B107)*100,0)</f>
        <v/>
      </c>
    </row>
    <row r="108">
      <c r="A108" t="inlineStr">
        <is>
          <t>Union Territory of Lakshadweep</t>
        </is>
      </c>
      <c r="B108" t="n">
        <v>306</v>
      </c>
      <c r="C108" t="n">
        <v>297</v>
      </c>
      <c r="D108" t="n">
        <v>9</v>
      </c>
      <c r="E108" t="n">
        <v>0</v>
      </c>
      <c r="F108" t="n">
        <v>0</v>
      </c>
      <c r="G108" t="n">
        <v>1</v>
      </c>
      <c r="H108" t="n">
        <v>8</v>
      </c>
      <c r="I108" s="3">
        <f>IFERROR((C108/B108)*100,0)</f>
        <v/>
      </c>
      <c r="J108" s="3">
        <f>IFERROR((D108/B108)*100,0)</f>
        <v/>
      </c>
    </row>
    <row r="109">
      <c r="A109" t="inlineStr">
        <is>
          <t>Meghalaya</t>
        </is>
      </c>
      <c r="B109" t="n">
        <v>1618</v>
      </c>
      <c r="C109" t="n">
        <v>149</v>
      </c>
      <c r="D109" t="n">
        <v>1469</v>
      </c>
      <c r="E109" t="n">
        <v>1197</v>
      </c>
      <c r="F109" t="n">
        <v>82</v>
      </c>
      <c r="G109" t="n">
        <v>99</v>
      </c>
      <c r="H109" t="n">
        <v>91</v>
      </c>
      <c r="I109" s="3">
        <f>IFERROR((C109/B109)*100,0)</f>
        <v/>
      </c>
      <c r="J109" s="3">
        <f>IFERROR((D109/B109)*100,0)</f>
        <v/>
      </c>
    </row>
    <row r="110">
      <c r="A110" t="inlineStr">
        <is>
          <t>Maharashtra</t>
        </is>
      </c>
      <c r="B110" t="n">
        <v>163036</v>
      </c>
      <c r="C110" t="n">
        <v>50735</v>
      </c>
      <c r="D110" t="n">
        <v>112301</v>
      </c>
      <c r="E110" t="n">
        <v>66397</v>
      </c>
      <c r="F110" t="n">
        <v>18278</v>
      </c>
      <c r="G110" t="n">
        <v>15758</v>
      </c>
      <c r="H110" t="n">
        <v>11868</v>
      </c>
      <c r="I110" s="3">
        <f>IFERROR((C110/B110)*100,0)</f>
        <v/>
      </c>
      <c r="J110" s="3">
        <f>IFERROR((D110/B110)*100,0)</f>
        <v/>
      </c>
    </row>
    <row r="111">
      <c r="A111" t="inlineStr">
        <is>
          <t>Manipur</t>
        </is>
      </c>
      <c r="B111" t="n">
        <v>1624</v>
      </c>
      <c r="C111" t="n">
        <v>37</v>
      </c>
      <c r="D111" t="n">
        <v>1587</v>
      </c>
      <c r="E111" t="n">
        <v>1326</v>
      </c>
      <c r="F111" t="n">
        <v>99</v>
      </c>
      <c r="G111" t="n">
        <v>90</v>
      </c>
      <c r="H111" t="n">
        <v>72</v>
      </c>
      <c r="I111" s="3">
        <f>IFERROR((C111/B111)*100,0)</f>
        <v/>
      </c>
      <c r="J111" s="3">
        <f>IFERROR((D111/B111)*100,0)</f>
        <v/>
      </c>
    </row>
    <row r="112">
      <c r="A112" t="inlineStr">
        <is>
          <t>Madhya Pradesh</t>
        </is>
      </c>
      <c r="B112" t="n">
        <v>111124</v>
      </c>
      <c r="C112" t="n">
        <v>13255</v>
      </c>
      <c r="D112" t="n">
        <v>97869</v>
      </c>
      <c r="E112" t="n">
        <v>69957</v>
      </c>
      <c r="F112" t="n">
        <v>9897</v>
      </c>
      <c r="G112" t="n">
        <v>10745</v>
      </c>
      <c r="H112" t="n">
        <v>7270</v>
      </c>
      <c r="I112" s="3">
        <f>IFERROR((C112/B112)*100,0)</f>
        <v/>
      </c>
      <c r="J112" s="3">
        <f>IFERROR((D112/B112)*100,0)</f>
        <v/>
      </c>
    </row>
    <row r="113">
      <c r="A113" t="inlineStr">
        <is>
          <t>Mizoram</t>
        </is>
      </c>
      <c r="B113" t="n">
        <v>502</v>
      </c>
      <c r="C113" t="n">
        <v>20</v>
      </c>
      <c r="D113" t="n">
        <v>482</v>
      </c>
      <c r="E113" t="n">
        <v>381</v>
      </c>
      <c r="F113" t="n">
        <v>28</v>
      </c>
      <c r="G113" t="n">
        <v>30</v>
      </c>
      <c r="H113" t="n">
        <v>43</v>
      </c>
      <c r="I113" s="3">
        <f>IFERROR((C113/B113)*100,0)</f>
        <v/>
      </c>
      <c r="J113" s="3">
        <f>IFERROR((D113/B113)*100,0)</f>
        <v/>
      </c>
    </row>
    <row r="114">
      <c r="A114" t="inlineStr">
        <is>
          <t>Nagaland</t>
        </is>
      </c>
      <c r="B114" t="n">
        <v>626</v>
      </c>
      <c r="C114" t="n">
        <v>374</v>
      </c>
      <c r="D114" t="n">
        <v>252</v>
      </c>
      <c r="E114" t="n">
        <v>152</v>
      </c>
      <c r="F114" t="n">
        <v>20</v>
      </c>
      <c r="G114" t="n">
        <v>31</v>
      </c>
      <c r="H114" t="n">
        <v>49</v>
      </c>
      <c r="I114" s="3">
        <f>IFERROR((C114/B114)*100,0)</f>
        <v/>
      </c>
      <c r="J114" s="3">
        <f>IFERROR((D114/B114)*100,0)</f>
        <v/>
      </c>
    </row>
    <row r="115">
      <c r="A115" t="inlineStr">
        <is>
          <t>Odisha</t>
        </is>
      </c>
      <c r="B115" t="n">
        <v>29417</v>
      </c>
      <c r="C115" t="n">
        <v>1640</v>
      </c>
      <c r="D115" t="n">
        <v>27777</v>
      </c>
      <c r="E115" t="n">
        <v>21742</v>
      </c>
      <c r="F115" t="n">
        <v>2515</v>
      </c>
      <c r="G115" t="n">
        <v>2177</v>
      </c>
      <c r="H115" t="n">
        <v>1343</v>
      </c>
      <c r="I115" s="3">
        <f>IFERROR((C115/B115)*100,0)</f>
        <v/>
      </c>
      <c r="J115" s="3">
        <f>IFERROR((D115/B115)*100,0)</f>
        <v/>
      </c>
    </row>
    <row r="116">
      <c r="A116" t="inlineStr">
        <is>
          <t>Punjab</t>
        </is>
      </c>
      <c r="B116" t="n">
        <v>37833</v>
      </c>
      <c r="C116" t="n">
        <v>21678</v>
      </c>
      <c r="D116" t="n">
        <v>16155</v>
      </c>
      <c r="E116" t="n">
        <v>7416</v>
      </c>
      <c r="F116" t="n">
        <v>3124</v>
      </c>
      <c r="G116" t="n">
        <v>3488</v>
      </c>
      <c r="H116" t="n">
        <v>2127</v>
      </c>
      <c r="I116" s="3">
        <f>IFERROR((C116/B116)*100,0)</f>
        <v/>
      </c>
      <c r="J116" s="3">
        <f>IFERROR((D116/B116)*100,0)</f>
        <v/>
      </c>
    </row>
    <row r="117">
      <c r="A117" t="inlineStr">
        <is>
          <t>Puducherry</t>
        </is>
      </c>
      <c r="B117" t="n">
        <v>2581</v>
      </c>
      <c r="C117" t="n">
        <v>1998</v>
      </c>
      <c r="D117" t="n">
        <v>583</v>
      </c>
      <c r="E117" t="n">
        <v>117</v>
      </c>
      <c r="F117" t="n">
        <v>111</v>
      </c>
      <c r="G117" t="n">
        <v>181</v>
      </c>
      <c r="H117" t="n">
        <v>174</v>
      </c>
      <c r="I117" s="3">
        <f>IFERROR((C117/B117)*100,0)</f>
        <v/>
      </c>
      <c r="J117" s="3">
        <f>IFERROR((D117/B117)*100,0)</f>
        <v/>
      </c>
    </row>
    <row r="118">
      <c r="A118" t="inlineStr">
        <is>
          <t>Rajasthan</t>
        </is>
      </c>
      <c r="B118" t="n">
        <v>133956</v>
      </c>
      <c r="C118" t="n">
        <v>22441</v>
      </c>
      <c r="D118" t="n">
        <v>111515</v>
      </c>
      <c r="E118" t="n">
        <v>97928</v>
      </c>
      <c r="F118" t="n">
        <v>2087</v>
      </c>
      <c r="G118" t="n">
        <v>3987</v>
      </c>
      <c r="H118" t="n">
        <v>7513</v>
      </c>
      <c r="I118" s="3">
        <f>IFERROR((C118/B118)*100,0)</f>
        <v/>
      </c>
      <c r="J118" s="3">
        <f>IFERROR((D118/B118)*100,0)</f>
        <v/>
      </c>
    </row>
    <row r="119">
      <c r="A119" t="inlineStr">
        <is>
          <t>Sikkim</t>
        </is>
      </c>
      <c r="B119" t="n">
        <v>725</v>
      </c>
      <c r="C119" t="n">
        <v>19</v>
      </c>
      <c r="D119" t="n">
        <v>706</v>
      </c>
      <c r="E119" t="n">
        <v>572</v>
      </c>
      <c r="F119" t="n">
        <v>46</v>
      </c>
      <c r="G119" t="n">
        <v>52</v>
      </c>
      <c r="H119" t="n">
        <v>36</v>
      </c>
      <c r="I119" s="3">
        <f>IFERROR((C119/B119)*100,0)</f>
        <v/>
      </c>
      <c r="J119" s="3">
        <f>IFERROR((D119/B119)*100,0)</f>
        <v/>
      </c>
    </row>
    <row r="120">
      <c r="A120" t="inlineStr">
        <is>
          <t>Telangana</t>
        </is>
      </c>
      <c r="B120" t="n">
        <v>26874</v>
      </c>
      <c r="C120" t="n">
        <v>20058</v>
      </c>
      <c r="D120" t="n">
        <v>6816</v>
      </c>
      <c r="E120" t="n">
        <v>5463</v>
      </c>
      <c r="F120" t="n">
        <v>135</v>
      </c>
      <c r="G120" t="n">
        <v>219</v>
      </c>
      <c r="H120" t="n">
        <v>999</v>
      </c>
      <c r="I120" s="3">
        <f>IFERROR((C120/B120)*100,0)</f>
        <v/>
      </c>
      <c r="J120" s="3">
        <f>IFERROR((D120/B120)*100,0)</f>
        <v/>
      </c>
    </row>
    <row r="121">
      <c r="A121" t="inlineStr">
        <is>
          <t>Tamil Nadu</t>
        </is>
      </c>
      <c r="B121" t="n">
        <v>54707</v>
      </c>
      <c r="C121" t="n">
        <v>31368</v>
      </c>
      <c r="D121" t="n">
        <v>23339</v>
      </c>
      <c r="E121" t="n">
        <v>12079</v>
      </c>
      <c r="F121" t="n">
        <v>3997</v>
      </c>
      <c r="G121" t="n">
        <v>4116</v>
      </c>
      <c r="H121" t="n">
        <v>3147</v>
      </c>
      <c r="I121" s="3">
        <f>IFERROR((C121/B121)*100,0)</f>
        <v/>
      </c>
      <c r="J121" s="3">
        <f>IFERROR((D121/B121)*100,0)</f>
        <v/>
      </c>
    </row>
    <row r="122">
      <c r="A122" t="inlineStr">
        <is>
          <t>Tripura</t>
        </is>
      </c>
      <c r="B122" t="n">
        <v>2874</v>
      </c>
      <c r="C122" t="n">
        <v>2344</v>
      </c>
      <c r="D122" t="n">
        <v>530</v>
      </c>
      <c r="E122" t="n">
        <v>258</v>
      </c>
      <c r="F122" t="n">
        <v>75</v>
      </c>
      <c r="G122" t="n">
        <v>90</v>
      </c>
      <c r="H122" t="n">
        <v>107</v>
      </c>
      <c r="I122" s="3">
        <f>IFERROR((C122/B122)*100,0)</f>
        <v/>
      </c>
      <c r="J122" s="3">
        <f>IFERROR((D122/B122)*100,0)</f>
        <v/>
      </c>
    </row>
    <row r="123">
      <c r="A123" t="inlineStr">
        <is>
          <t>Uttarakhand</t>
        </is>
      </c>
      <c r="B123" t="n">
        <v>41264</v>
      </c>
      <c r="C123" t="n">
        <v>2418</v>
      </c>
      <c r="D123" t="n">
        <v>38846</v>
      </c>
      <c r="E123" t="n">
        <v>27303</v>
      </c>
      <c r="F123" t="n">
        <v>4560</v>
      </c>
      <c r="G123" t="n">
        <v>4466</v>
      </c>
      <c r="H123" t="n">
        <v>2517</v>
      </c>
      <c r="I123" s="3">
        <f>IFERROR((C123/B123)*100,0)</f>
        <v/>
      </c>
      <c r="J123" s="3">
        <f>IFERROR((D123/B123)*100,0)</f>
        <v/>
      </c>
    </row>
    <row r="124">
      <c r="A124" t="inlineStr">
        <is>
          <t>Uttar Pradesh</t>
        </is>
      </c>
      <c r="B124" t="n">
        <v>547042</v>
      </c>
      <c r="C124" t="n">
        <v>437024</v>
      </c>
      <c r="D124" t="n">
        <v>110018</v>
      </c>
      <c r="E124" t="n">
        <v>64002</v>
      </c>
      <c r="F124" t="n">
        <v>2209</v>
      </c>
      <c r="G124" t="n">
        <v>6001</v>
      </c>
      <c r="H124" t="n">
        <v>37806</v>
      </c>
      <c r="I124" s="3">
        <f>IFERROR((C124/B124)*100,0)</f>
        <v/>
      </c>
      <c r="J124" s="3">
        <f>IFERROR((D124/B124)*100,0)</f>
        <v/>
      </c>
    </row>
    <row r="125">
      <c r="A125" t="inlineStr">
        <is>
          <t>West Bengal</t>
        </is>
      </c>
      <c r="B125" t="n">
        <v>44515</v>
      </c>
      <c r="C125" t="n">
        <v>1035</v>
      </c>
      <c r="D125" t="n">
        <v>43480</v>
      </c>
      <c r="E125" t="n">
        <v>29074</v>
      </c>
      <c r="F125" t="n">
        <v>5579</v>
      </c>
      <c r="G125" t="n">
        <v>5625</v>
      </c>
      <c r="H125" t="n">
        <v>3202</v>
      </c>
      <c r="I125" s="3">
        <f>IFERROR((C125/B125)*100,0)</f>
        <v/>
      </c>
      <c r="J125" s="3">
        <f>IFERROR((D125/B125)*100,0)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8" customWidth="1" min="3" max="3"/>
  </cols>
  <sheetData>
    <row r="1">
      <c r="A1" s="1" t="inlineStr">
        <is>
          <t>Correlation Analysis</t>
        </is>
      </c>
      <c r="B1" s="1" t="inlineStr"/>
      <c r="C1" s="1" t="inlineStr"/>
    </row>
    <row r="2">
      <c r="A2" t="inlineStr">
        <is>
          <t>Variable 1</t>
        </is>
      </c>
      <c r="B2" t="inlineStr">
        <is>
          <t>Variable 2</t>
        </is>
      </c>
      <c r="C2" t="inlineStr">
        <is>
          <t>Correlation Coefficient (r)</t>
        </is>
      </c>
    </row>
    <row r="3">
      <c r="A3" t="inlineStr">
        <is>
          <t>Total Receipts</t>
        </is>
      </c>
      <c r="B3" t="inlineStr">
        <is>
          <t>Total Disposal</t>
        </is>
      </c>
      <c r="C3" s="4">
        <f>CORREL(Statistical_Analysis!B2:B125,Statistical_Analysis!C2:C125)</f>
        <v/>
      </c>
    </row>
    <row r="4">
      <c r="A4" t="inlineStr">
        <is>
          <t>Total Receipts</t>
        </is>
      </c>
      <c r="B4" t="inlineStr">
        <is>
          <t>Disposal Rate (%)</t>
        </is>
      </c>
      <c r="C4" s="4">
        <f>CORREL(Statistical_Analysis!B2:B125,Statistical_Analysis!I2:I125)</f>
        <v/>
      </c>
    </row>
    <row r="5">
      <c r="A5" t="inlineStr">
        <is>
          <t>Total Disposal</t>
        </is>
      </c>
      <c r="B5" t="inlineStr">
        <is>
          <t>Disposal Rate (%)</t>
        </is>
      </c>
      <c r="C5" s="4">
        <f>CORREL(Statistical_Analysis!C2:C125,Statistical_Analysis!I2:I125)</f>
        <v/>
      </c>
    </row>
    <row r="6"/>
    <row r="7">
      <c r="A7" t="inlineStr">
        <is>
          <t>Regression Analysis</t>
        </is>
      </c>
    </row>
    <row r="8">
      <c r="A8" t="inlineStr">
        <is>
          <t>Independent Variable (X)</t>
        </is>
      </c>
      <c r="B8" t="inlineStr">
        <is>
          <t>Dependent Variable (Y)</t>
        </is>
      </c>
      <c r="C8" t="inlineStr">
        <is>
          <t>R² (R-squared)</t>
        </is>
      </c>
    </row>
    <row r="9">
      <c r="A9" t="inlineStr">
        <is>
          <t>Total Receipts</t>
        </is>
      </c>
      <c r="B9" t="inlineStr">
        <is>
          <t>Total Disposal</t>
        </is>
      </c>
      <c r="C9" s="4">
        <f>RSQ(Statistical_Analysis!C2:C125,Statistical_Analysis!B2:B125)</f>
        <v/>
      </c>
    </row>
    <row r="10"/>
    <row r="11">
      <c r="A11" t="inlineStr">
        <is>
          <t>Regression Slope</t>
        </is>
      </c>
      <c r="B11" s="4">
        <f>SLOPE(Statistical_Analysis!C2:C125,Statistical_Analysis!B2:B125)</f>
        <v/>
      </c>
    </row>
    <row r="12">
      <c r="A12" t="inlineStr">
        <is>
          <t>Regression Intercept</t>
        </is>
      </c>
      <c r="B12" s="4">
        <f>INTERCEPT(Statistical_Analysis!C2:C125,Statistical_Analysis!B2:B125)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2026-09-15T21:10:10Z</dcterms:created>
  <dcterms:modified xmlns:dcterms="http://purl.org/dc/terms/" xmlns:xsi="http://www.w3.org/2001/XMLSchema-instance" xsi:type="dcterms:W3CDTF">2026-09-15T21:17:06Z</dcterms:modified>
</cp:coreProperties>
</file>